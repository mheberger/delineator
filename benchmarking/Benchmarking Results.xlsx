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eberger\Dropbox\RESEARCH\Watershed Article\benchmarking\"/>
    </mc:Choice>
  </mc:AlternateContent>
  <xr:revisionPtr revIDLastSave="0" documentId="13_ncr:1_{CA300A45-B9B5-4069-B86D-506C013CF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OUT" sheetId="2" r:id="rId1"/>
    <sheet name="Expt 3 Results" sheetId="1" r:id="rId2"/>
    <sheet name="Expt 4 Results" sheetId="4" r:id="rId3"/>
    <sheet name="Pivot Table Summary" sheetId="6" r:id="rId4"/>
    <sheet name="fdir_metadata" sheetId="5" r:id="rId5"/>
  </sheets>
  <definedNames>
    <definedName name="_xlnm._FilterDatabase" localSheetId="1" hidden="1">'Expt 3 Results'!$A$3:$M$85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4" i="5"/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4" i="4"/>
  <c r="G21" i="4" l="1"/>
  <c r="G13" i="4"/>
  <c r="G32" i="4"/>
  <c r="G29" i="4"/>
  <c r="G5" i="4"/>
  <c r="G48" i="4"/>
  <c r="G40" i="4"/>
  <c r="G16" i="4"/>
  <c r="G8" i="4"/>
  <c r="G24" i="4"/>
  <c r="G37" i="4"/>
  <c r="G45" i="4"/>
  <c r="G46" i="4"/>
  <c r="G38" i="4"/>
  <c r="G30" i="4"/>
  <c r="G22" i="4"/>
  <c r="G14" i="4"/>
  <c r="G6" i="4"/>
  <c r="G19" i="4"/>
  <c r="G27" i="4"/>
  <c r="G11" i="4"/>
  <c r="G43" i="4"/>
  <c r="G35" i="4"/>
  <c r="G4" i="4"/>
  <c r="G49" i="4"/>
  <c r="G41" i="4"/>
  <c r="G33" i="4"/>
  <c r="G25" i="4"/>
  <c r="G17" i="4"/>
  <c r="G42" i="4"/>
  <c r="G34" i="4"/>
  <c r="G26" i="4"/>
  <c r="G18" i="4"/>
  <c r="G10" i="4"/>
  <c r="G44" i="4"/>
  <c r="G36" i="4"/>
  <c r="G28" i="4"/>
  <c r="G20" i="4"/>
  <c r="G12" i="4"/>
  <c r="G47" i="4"/>
  <c r="G39" i="4"/>
  <c r="G31" i="4"/>
  <c r="G23" i="4"/>
  <c r="G15" i="4"/>
  <c r="G7" i="4"/>
  <c r="G9" i="4"/>
</calcChain>
</file>

<file path=xl/sharedStrings.xml><?xml version="1.0" encoding="utf-8"?>
<sst xmlns="http://schemas.openxmlformats.org/spreadsheetml/2006/main" count="139" uniqueCount="134">
  <si>
    <t>id</t>
  </si>
  <si>
    <t>lat</t>
  </si>
  <si>
    <t>lng</t>
  </si>
  <si>
    <t>name</t>
  </si>
  <si>
    <t>area_reported</t>
  </si>
  <si>
    <t>lat_snap</t>
  </si>
  <si>
    <t>lng_snap</t>
  </si>
  <si>
    <t>snap_dist</t>
  </si>
  <si>
    <t>area_calc</t>
  </si>
  <si>
    <t>Amazon</t>
  </si>
  <si>
    <t>Nordhura River at Stekkur</t>
  </si>
  <si>
    <t>Hvita River at Kljafoss</t>
  </si>
  <si>
    <t>Olfusa River at Selfoss</t>
  </si>
  <si>
    <t>Bruara River at Dynjandi</t>
  </si>
  <si>
    <t>Thjorsa River at Krokur</t>
  </si>
  <si>
    <t>Eystri-Ranga River at Tungufoss</t>
  </si>
  <si>
    <t>Ytri-Ranga River at Arbaejarfoss</t>
  </si>
  <si>
    <t>Fossa River at Eyjolfsstadir</t>
  </si>
  <si>
    <t>Vestri-Jokulsa River at Godhdala Bru</t>
  </si>
  <si>
    <t>Blanda River at Langamyri</t>
  </si>
  <si>
    <t>Vatnsdalsa River at Forsaeludalur</t>
  </si>
  <si>
    <t>Hvala River at Op</t>
  </si>
  <si>
    <t>Vatnsdalsa River at Eidhi</t>
  </si>
  <si>
    <t>Fnjoska River at Arbugsa</t>
  </si>
  <si>
    <t>Markarfljot River at Emstrur</t>
  </si>
  <si>
    <t>Sanda River at Flogubru I</t>
  </si>
  <si>
    <t>Djupa River at Djupa Bru</t>
  </si>
  <si>
    <t>Svarta River at Reykjafoss</t>
  </si>
  <si>
    <t>Skjalfandafljot River at Aldeyjarfoss</t>
  </si>
  <si>
    <t>Jokulsa River at Grimsstadir</t>
  </si>
  <si>
    <t>Jokulsa River at  Upptyppingar</t>
  </si>
  <si>
    <t>Lagarfljot River at Lagarfoss</t>
  </si>
  <si>
    <t>megabasin</t>
  </si>
  <si>
    <t>time pysheds</t>
  </si>
  <si>
    <t>time TauDEM</t>
  </si>
  <si>
    <t>Branco, Rio @ Fazenda Rio Branco</t>
  </si>
  <si>
    <t>Vermelho, Rio @ Balneario Cachoeira Grande</t>
  </si>
  <si>
    <t>Tiquie, Rio @ Pari Cachoeira</t>
  </si>
  <si>
    <t>Gregorio, Rio @ Fazenda Paranacre</t>
  </si>
  <si>
    <t>Comemoracao, Rio @ Fazenda Flor Do Campo</t>
  </si>
  <si>
    <t>Guapore, Rio @ Pontes E Lacerda</t>
  </si>
  <si>
    <t>Cristalino, Rio @ Jusante Barra Do Forquilha</t>
  </si>
  <si>
    <t>Mucajai, Rio @ PÃ£â€“Sto Funai</t>
  </si>
  <si>
    <t>Mucajai, Rio @ Fe E Esperance</t>
  </si>
  <si>
    <t>Almas, Rio Das @ Ceres (Posto Biquinha)</t>
  </si>
  <si>
    <t>Roosevelt, Rio @ Concisa</t>
  </si>
  <si>
    <t>Sono, Rio Do @ Novo Acordo</t>
  </si>
  <si>
    <t>Fresco, Rio @ Boa Esperanca</t>
  </si>
  <si>
    <t>Jutai, Rio @ Barreira Alta</t>
  </si>
  <si>
    <t>Roosevelt, Rio @ Fazenda Boa Lembranca</t>
  </si>
  <si>
    <t>Iriri, Rio @ Laranjeiras</t>
  </si>
  <si>
    <t>Negro, Rio @ Curicuriari</t>
  </si>
  <si>
    <t>Araguaia, Rio @ Sao Felix Do Araguaia</t>
  </si>
  <si>
    <t>Madeira, Rio @ Humaita</t>
  </si>
  <si>
    <t>Tapajos, Rio @ Barra Do Sao Manuel-Jusante</t>
  </si>
  <si>
    <t>Divoka Orlice Nekor</t>
  </si>
  <si>
    <t>Bethune Saint-Aubin-Le-Cauf</t>
  </si>
  <si>
    <t>Waveney, River Needham Mill</t>
  </si>
  <si>
    <t>Albe Sarralbe (Rech)</t>
  </si>
  <si>
    <t>Murr Murr</t>
  </si>
  <si>
    <t>Landquart Felsenbach</t>
  </si>
  <si>
    <t>Dendre Overboerlare</t>
  </si>
  <si>
    <t>Stour, River Throop Mill</t>
  </si>
  <si>
    <t>Blackwater, River Killavullen</t>
  </si>
  <si>
    <t>Jagst Untergriesheim</t>
  </si>
  <si>
    <t>Hase Herzlake</t>
  </si>
  <si>
    <t>Otava Pisek</t>
  </si>
  <si>
    <t>Ruhr Hattingen</t>
  </si>
  <si>
    <t>Leine Schwarmstedt</t>
  </si>
  <si>
    <t>Berounka Beroun</t>
  </si>
  <si>
    <t>Maas Chooz</t>
  </si>
  <si>
    <t>Weser Vlotho</t>
  </si>
  <si>
    <t>Maas Megen</t>
  </si>
  <si>
    <t>Rhine River Rheinfelden</t>
  </si>
  <si>
    <t>Elbe River Usti Nad Labem</t>
  </si>
  <si>
    <t>Elbe River Torgau</t>
  </si>
  <si>
    <t>Rhine River Worms</t>
  </si>
  <si>
    <t>Elbe River Aken</t>
  </si>
  <si>
    <t>Elbe River Tangermuende</t>
  </si>
  <si>
    <t>Rhine River Andernach</t>
  </si>
  <si>
    <t>Ruchill, Water of Cultybraggan</t>
  </si>
  <si>
    <t>Aveyron Palmas (Pont de Manson)</t>
  </si>
  <si>
    <t xml:space="preserve"> </t>
  </si>
  <si>
    <t>Eder Schmittlotheim</t>
  </si>
  <si>
    <t>Taw, River Umberleigh</t>
  </si>
  <si>
    <t>Tocantins, Rio Tupiratins</t>
  </si>
  <si>
    <t>Araguaia, Rio Conceicao Do Araguaia</t>
  </si>
  <si>
    <t>Mamore, Rio Guajara-Mirim</t>
  </si>
  <si>
    <t>Tocantins, Rio Tucurui</t>
  </si>
  <si>
    <t>Amazon River Itapeua</t>
  </si>
  <si>
    <t>Amazon River Manacapuru</t>
  </si>
  <si>
    <t>Careiro, Parana Do Careiro</t>
  </si>
  <si>
    <t>Amazon River Obidos - Linigrafo</t>
  </si>
  <si>
    <t>Amazon at Most Downstream Location Available</t>
  </si>
  <si>
    <t>Xingu R. at Altamira</t>
  </si>
  <si>
    <t>Somme R. at Abbeville, FR</t>
  </si>
  <si>
    <t>□</t>
  </si>
  <si>
    <t>△</t>
  </si>
  <si>
    <t>○</t>
  </si>
  <si>
    <t>Iceland</t>
  </si>
  <si>
    <t>Region</t>
  </si>
  <si>
    <t>TauDEM</t>
  </si>
  <si>
    <t>pysheds</t>
  </si>
  <si>
    <t>height</t>
  </si>
  <si>
    <t>basin</t>
  </si>
  <si>
    <t>Width</t>
  </si>
  <si>
    <t>Height</t>
  </si>
  <si>
    <t>This experiment is for watersheds of around 10 million pixels</t>
  </si>
  <si>
    <t>Raster GeoTiff file size (MB)</t>
  </si>
  <si>
    <t>W. Europe</t>
  </si>
  <si>
    <t>No. pixels
(in billions)</t>
  </si>
  <si>
    <t xml:space="preserve">Basin </t>
  </si>
  <si>
    <t>Total Pixels (billions)</t>
  </si>
  <si>
    <t>delineator</t>
  </si>
  <si>
    <t>Average of time pysheds</t>
  </si>
  <si>
    <t>Average of time TauDEM</t>
  </si>
  <si>
    <t xml:space="preserve">time delineator </t>
  </si>
  <si>
    <t xml:space="preserve">Average of time delineator </t>
  </si>
  <si>
    <t>(All)</t>
  </si>
  <si>
    <t xml:space="preserve">Figure for paper: </t>
  </si>
  <si>
    <t>Copy of figure (a) at left, in log-log scale</t>
  </si>
  <si>
    <t xml:space="preserve">Extra figure, not for inclusion in the paper. </t>
  </si>
  <si>
    <t xml:space="preserve">delineator speed varies with watershed size, but the raster file size does not appear to have any impact. </t>
  </si>
  <si>
    <t>Benchmarking Experiment 3 Results</t>
  </si>
  <si>
    <t>Benchmarking Experient 4 Results</t>
  </si>
  <si>
    <t>Flow Direction raster width</t>
  </si>
  <si>
    <t>Total number of grid pixels (billions)</t>
  </si>
  <si>
    <t>output watershed area, pysheds</t>
  </si>
  <si>
    <t>output watershed area, delineator</t>
  </si>
  <si>
    <t>output watershed area, TauDEM</t>
  </si>
  <si>
    <t>MERIT-Hydro flow direction raster metadata</t>
  </si>
  <si>
    <t>Delineation time in seconds:</t>
  </si>
  <si>
    <t>Figure for paper is on previous worksheet. Alternative version with semi-log axes:</t>
  </si>
  <si>
    <t>File Size (MB) of the compressed GeoTiff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</si>
</sst>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,##0.000"/>
    <numFmt numFmtId="167" formatCode="0.00000000"/>
    <numFmt numFmtId="168" formatCode="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rgb="FF202122"/>
      <name val="Arial"/>
      <family val="2"/>
    </font>
    <font>
      <sz val="12"/>
      <color theme="1"/>
      <name val="Arial"/>
      <family val="2"/>
    </font>
    <font>
      <sz val="13"/>
      <color rgb="FF2021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1" xfId="0" applyFont="1" applyBorder="1"/>
    <xf numFmtId="2" fontId="21" fillId="0" borderId="11" xfId="0" applyNumberFormat="1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1" fillId="0" borderId="0" xfId="0" applyFont="1" applyAlignment="1">
      <alignment horizontal="right" indent="3"/>
    </xf>
    <xf numFmtId="0" fontId="21" fillId="0" borderId="11" xfId="0" applyFont="1" applyBorder="1" applyAlignment="1">
      <alignment horizontal="right" indent="3"/>
    </xf>
    <xf numFmtId="0" fontId="21" fillId="0" borderId="10" xfId="0" applyFont="1" applyBorder="1" applyAlignment="1">
      <alignment horizontal="left" vertical="center" wrapText="1"/>
    </xf>
    <xf numFmtId="0" fontId="0" fillId="0" borderId="0" xfId="0" pivotButton="1"/>
    <xf numFmtId="0" fontId="23" fillId="0" borderId="10" xfId="0" applyFont="1" applyBorder="1" applyAlignment="1">
      <alignment horizontal="center" vertical="center" wrapText="1"/>
    </xf>
    <xf numFmtId="0" fontId="24" fillId="0" borderId="0" xfId="0" applyFont="1"/>
    <xf numFmtId="165" fontId="23" fillId="0" borderId="10" xfId="42" applyNumberFormat="1" applyFont="1" applyBorder="1" applyAlignment="1">
      <alignment horizontal="center" vertical="center" wrapText="1"/>
    </xf>
    <xf numFmtId="3" fontId="23" fillId="0" borderId="10" xfId="0" applyNumberFormat="1" applyFont="1" applyBorder="1" applyAlignment="1">
      <alignment horizontal="center" vertical="center" wrapText="1"/>
    </xf>
    <xf numFmtId="3" fontId="24" fillId="0" borderId="0" xfId="42" applyNumberFormat="1" applyFont="1"/>
    <xf numFmtId="3" fontId="24" fillId="0" borderId="0" xfId="0" applyNumberFormat="1" applyFont="1"/>
    <xf numFmtId="164" fontId="24" fillId="0" borderId="0" xfId="0" applyNumberFormat="1" applyFont="1"/>
    <xf numFmtId="3" fontId="24" fillId="0" borderId="0" xfId="42" applyNumberFormat="1" applyFont="1" applyBorder="1"/>
    <xf numFmtId="0" fontId="24" fillId="0" borderId="11" xfId="0" applyFont="1" applyBorder="1"/>
    <xf numFmtId="3" fontId="24" fillId="0" borderId="11" xfId="42" applyNumberFormat="1" applyFont="1" applyBorder="1"/>
    <xf numFmtId="3" fontId="24" fillId="0" borderId="11" xfId="0" applyNumberFormat="1" applyFont="1" applyBorder="1"/>
    <xf numFmtId="164" fontId="24" fillId="0" borderId="11" xfId="0" applyNumberFormat="1" applyFont="1" applyBorder="1"/>
    <xf numFmtId="0" fontId="24" fillId="0" borderId="12" xfId="0" applyFont="1" applyBorder="1"/>
    <xf numFmtId="165" fontId="24" fillId="0" borderId="0" xfId="42" applyNumberFormat="1" applyFont="1"/>
    <xf numFmtId="168" fontId="24" fillId="0" borderId="0" xfId="0" applyNumberFormat="1" applyFont="1"/>
    <xf numFmtId="168" fontId="24" fillId="0" borderId="11" xfId="0" applyNumberFormat="1" applyFont="1" applyBorder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left" vertical="center" readingOrder="1"/>
    </xf>
    <xf numFmtId="167" fontId="24" fillId="0" borderId="0" xfId="0" applyNumberFormat="1" applyFont="1"/>
    <xf numFmtId="166" fontId="24" fillId="0" borderId="0" xfId="0" applyNumberFormat="1" applyFont="1"/>
    <xf numFmtId="2" fontId="24" fillId="0" borderId="0" xfId="0" applyNumberFormat="1" applyFont="1"/>
    <xf numFmtId="0" fontId="24" fillId="0" borderId="10" xfId="0" applyFont="1" applyBorder="1" applyAlignment="1">
      <alignment horizontal="center" vertical="center" wrapText="1"/>
    </xf>
    <xf numFmtId="2" fontId="24" fillId="0" borderId="11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colors>
    <mruColors>
      <color rgb="FF6600FF"/>
      <color rgb="FF01B050"/>
      <color rgb="FF000000"/>
      <color rgb="FF4343C5"/>
      <color rgb="FF444A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9360782434313"/>
          <c:y val="7.4559154758176011E-2"/>
          <c:w val="0.77117115440390716"/>
          <c:h val="0.6270735536744918"/>
        </c:manualLayout>
      </c:layout>
      <c:scatterChart>
        <c:scatterStyle val="lineMarker"/>
        <c:varyColors val="0"/>
        <c:ser>
          <c:idx val="3"/>
          <c:order val="0"/>
          <c:tx>
            <c:v>TauDEM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2E3-4D4C-BA53-AEDEBD71950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2E3-4D4C-BA53-AEDEBD71950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2E3-4D4C-BA53-AEDEBD71950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2E3-4D4C-BA53-AEDEBD71950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2E3-4D4C-BA53-AEDEBD71950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2E3-4D4C-BA53-AEDEBD71950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2E3-4D4C-BA53-AEDEBD71950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2E3-4D4C-BA53-AEDEBD71950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2E3-4D4C-BA53-AEDEBD71950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2E3-4D4C-BA53-AEDEBD71950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2E3-4D4C-BA53-AEDEBD71950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2E3-4D4C-BA53-AEDEBD71950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2E3-4D4C-BA53-AEDEBD71950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2E3-4D4C-BA53-AEDEBD71950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2E3-4D4C-BA53-AEDEBD71950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2E3-4D4C-BA53-AEDEBD71950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2E3-4D4C-BA53-AEDEBD71950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2E3-4D4C-BA53-AEDEBD71950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2E3-4D4C-BA53-AEDEBD71950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2E3-4D4C-BA53-AEDEBD71950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2E3-4D4C-BA53-AEDEBD71950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82E3-4D4C-BA53-AEDEBD71950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82E3-4D4C-BA53-AEDEBD71950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2E3-4D4C-BA53-AEDEBD71950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82E3-4D4C-BA53-AEDEBD71950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82E3-4D4C-BA53-AEDEBD71950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82E3-4D4C-BA53-AEDEBD71950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82E3-4D4C-BA53-AEDEBD71950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82E3-4D4C-BA53-AEDEBD71950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82E3-4D4C-BA53-AEDEBD71950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82E3-4D4C-BA53-AEDEBD71950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82E3-4D4C-BA53-AEDEBD71950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82E3-4D4C-BA53-AEDEBD71950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82E3-4D4C-BA53-AEDEBD71950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82E3-4D4C-BA53-AEDEBD71950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82E3-4D4C-BA53-AEDEBD71950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82E3-4D4C-BA53-AEDEBD71950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82E3-4D4C-BA53-AEDEBD71950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82E3-4D4C-BA53-AEDEBD71950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82E3-4D4C-BA53-AEDEBD71950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2E3-4D4C-BA53-AEDEBD71950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82E3-4D4C-BA53-AEDEBD71950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82E3-4D4C-BA53-AEDEBD71950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82E3-4D4C-BA53-AEDEBD71950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82E3-4D4C-BA53-AEDEBD71950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82E3-4D4C-BA53-AEDEBD71950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82E3-4D4C-BA53-AEDEBD71950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82E3-4D4C-BA53-AEDEBD71950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82E3-4D4C-BA53-AEDEBD71950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82E3-4D4C-BA53-AEDEBD71950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82E3-4D4C-BA53-AEDEBD71950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82E3-4D4C-BA53-AEDEBD71950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82E3-4D4C-BA53-AEDEBD71950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7DF9-465B-BD75-A1A80992E058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7DF9-465B-BD75-A1A80992E058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7DF9-465B-BD75-A1A80992E058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7DF9-465B-BD75-A1A80992E058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7DF9-465B-BD75-A1A80992E058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7DF9-465B-BD75-A1A80992E058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7DF9-465B-BD75-A1A80992E058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7DF9-465B-BD75-A1A80992E058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7DF9-465B-BD75-A1A80992E058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7DF9-465B-BD75-A1A80992E058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7DF9-465B-BD75-A1A80992E058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7DF9-465B-BD75-A1A80992E058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7DF9-465B-BD75-A1A80992E058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7DF9-465B-BD75-A1A80992E058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7DF9-465B-BD75-A1A80992E058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7DF9-465B-BD75-A1A80992E058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7DF9-465B-BD75-A1A80992E058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7DF9-465B-BD75-A1A80992E058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7DF9-465B-BD75-A1A80992E058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7DF9-465B-BD75-A1A80992E058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7DF9-465B-BD75-A1A80992E058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7DF9-465B-BD75-A1A80992E058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7DF9-465B-BD75-A1A80992E058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7DF9-465B-BD75-A1A80992E058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7DF9-465B-BD75-A1A80992E058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7DF9-465B-BD75-A1A80992E058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7DF9-465B-BD75-A1A80992E058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7DF9-465B-BD75-A1A80992E058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7DF9-465B-BD75-A1A80992E058}"/>
              </c:ext>
            </c:extLst>
          </c:dPt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330095826257012"/>
                  <c:y val="-8.0508246334685275E-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1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Results'!$M$4:$M$85</c:f>
              <c:numCache>
                <c:formatCode>0.0</c:formatCode>
                <c:ptCount val="82"/>
                <c:pt idx="0">
                  <c:v>43.5</c:v>
                </c:pt>
                <c:pt idx="1">
                  <c:v>53</c:v>
                </c:pt>
                <c:pt idx="2">
                  <c:v>52.4</c:v>
                </c:pt>
                <c:pt idx="3">
                  <c:v>48.5</c:v>
                </c:pt>
                <c:pt idx="4">
                  <c:v>46.6</c:v>
                </c:pt>
                <c:pt idx="5">
                  <c:v>47.9</c:v>
                </c:pt>
                <c:pt idx="6">
                  <c:v>44.7</c:v>
                </c:pt>
                <c:pt idx="7">
                  <c:v>48.7</c:v>
                </c:pt>
                <c:pt idx="8">
                  <c:v>42.8</c:v>
                </c:pt>
                <c:pt idx="9">
                  <c:v>49.6</c:v>
                </c:pt>
                <c:pt idx="10">
                  <c:v>47.4</c:v>
                </c:pt>
                <c:pt idx="11">
                  <c:v>39.299999999999997</c:v>
                </c:pt>
                <c:pt idx="12">
                  <c:v>48.6</c:v>
                </c:pt>
                <c:pt idx="13">
                  <c:v>46.7</c:v>
                </c:pt>
                <c:pt idx="14">
                  <c:v>48.2</c:v>
                </c:pt>
                <c:pt idx="15">
                  <c:v>47</c:v>
                </c:pt>
                <c:pt idx="16">
                  <c:v>45.8</c:v>
                </c:pt>
                <c:pt idx="17">
                  <c:v>42.1</c:v>
                </c:pt>
                <c:pt idx="18">
                  <c:v>43.1</c:v>
                </c:pt>
                <c:pt idx="19">
                  <c:v>42.5</c:v>
                </c:pt>
                <c:pt idx="20">
                  <c:v>41.9</c:v>
                </c:pt>
                <c:pt idx="21">
                  <c:v>43</c:v>
                </c:pt>
                <c:pt idx="22">
                  <c:v>42.8</c:v>
                </c:pt>
                <c:pt idx="23">
                  <c:v>42.5</c:v>
                </c:pt>
                <c:pt idx="24">
                  <c:v>42.9</c:v>
                </c:pt>
                <c:pt idx="25">
                  <c:v>45.9</c:v>
                </c:pt>
                <c:pt idx="26">
                  <c:v>44.4</c:v>
                </c:pt>
                <c:pt idx="27">
                  <c:v>43.1</c:v>
                </c:pt>
                <c:pt idx="28">
                  <c:v>43.8</c:v>
                </c:pt>
                <c:pt idx="29">
                  <c:v>44.9</c:v>
                </c:pt>
                <c:pt idx="30">
                  <c:v>13.7</c:v>
                </c:pt>
                <c:pt idx="31">
                  <c:v>10.6</c:v>
                </c:pt>
                <c:pt idx="32">
                  <c:v>14.4</c:v>
                </c:pt>
                <c:pt idx="33">
                  <c:v>11.9</c:v>
                </c:pt>
                <c:pt idx="34">
                  <c:v>11.7</c:v>
                </c:pt>
                <c:pt idx="35">
                  <c:v>12.4</c:v>
                </c:pt>
                <c:pt idx="36">
                  <c:v>10.6</c:v>
                </c:pt>
                <c:pt idx="37">
                  <c:v>13.6</c:v>
                </c:pt>
                <c:pt idx="38">
                  <c:v>11.1</c:v>
                </c:pt>
                <c:pt idx="39">
                  <c:v>11.5</c:v>
                </c:pt>
                <c:pt idx="40">
                  <c:v>10.7</c:v>
                </c:pt>
                <c:pt idx="41">
                  <c:v>11.1</c:v>
                </c:pt>
                <c:pt idx="42">
                  <c:v>11.5</c:v>
                </c:pt>
                <c:pt idx="43">
                  <c:v>11.6</c:v>
                </c:pt>
                <c:pt idx="44">
                  <c:v>10.8</c:v>
                </c:pt>
                <c:pt idx="45">
                  <c:v>11.8</c:v>
                </c:pt>
                <c:pt idx="46">
                  <c:v>12.7</c:v>
                </c:pt>
                <c:pt idx="47">
                  <c:v>13.9</c:v>
                </c:pt>
                <c:pt idx="48">
                  <c:v>13.3</c:v>
                </c:pt>
                <c:pt idx="49">
                  <c:v>14</c:v>
                </c:pt>
                <c:pt idx="50">
                  <c:v>11.1</c:v>
                </c:pt>
                <c:pt idx="51">
                  <c:v>10.8</c:v>
                </c:pt>
                <c:pt idx="52">
                  <c:v>49.3</c:v>
                </c:pt>
                <c:pt idx="53">
                  <c:v>51.3</c:v>
                </c:pt>
                <c:pt idx="54">
                  <c:v>65.099999999999994</c:v>
                </c:pt>
                <c:pt idx="55">
                  <c:v>72.099999999999994</c:v>
                </c:pt>
                <c:pt idx="56">
                  <c:v>59.8</c:v>
                </c:pt>
                <c:pt idx="57">
                  <c:v>52.7</c:v>
                </c:pt>
                <c:pt idx="58">
                  <c:v>57.3</c:v>
                </c:pt>
                <c:pt idx="59">
                  <c:v>63.5</c:v>
                </c:pt>
                <c:pt idx="60">
                  <c:v>54.9</c:v>
                </c:pt>
                <c:pt idx="61">
                  <c:v>63.6</c:v>
                </c:pt>
                <c:pt idx="62">
                  <c:v>58.8</c:v>
                </c:pt>
                <c:pt idx="63">
                  <c:v>54.8</c:v>
                </c:pt>
                <c:pt idx="64">
                  <c:v>52.9</c:v>
                </c:pt>
                <c:pt idx="65">
                  <c:v>52.3</c:v>
                </c:pt>
                <c:pt idx="66">
                  <c:v>55.3</c:v>
                </c:pt>
                <c:pt idx="67">
                  <c:v>56.3</c:v>
                </c:pt>
                <c:pt idx="68">
                  <c:v>52.7</c:v>
                </c:pt>
                <c:pt idx="69">
                  <c:v>54.7</c:v>
                </c:pt>
                <c:pt idx="70">
                  <c:v>51.7</c:v>
                </c:pt>
                <c:pt idx="71">
                  <c:v>52.9</c:v>
                </c:pt>
                <c:pt idx="72">
                  <c:v>52.5</c:v>
                </c:pt>
                <c:pt idx="73">
                  <c:v>53.3</c:v>
                </c:pt>
                <c:pt idx="74">
                  <c:v>56.9</c:v>
                </c:pt>
                <c:pt idx="75">
                  <c:v>56.3</c:v>
                </c:pt>
                <c:pt idx="76">
                  <c:v>62.3</c:v>
                </c:pt>
                <c:pt idx="77">
                  <c:v>68.900000000000006</c:v>
                </c:pt>
                <c:pt idx="78">
                  <c:v>49</c:v>
                </c:pt>
                <c:pt idx="79">
                  <c:v>53.6</c:v>
                </c:pt>
                <c:pt idx="80">
                  <c:v>104</c:v>
                </c:pt>
                <c:pt idx="8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F6-4FD3-8FB3-DA9F8039218E}"/>
            </c:ext>
          </c:extLst>
        </c:ser>
        <c:ser>
          <c:idx val="1"/>
          <c:order val="1"/>
          <c:tx>
            <c:v>pysheds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82E3-4D4C-BA53-AEDEBD71950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82E3-4D4C-BA53-AEDEBD71950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82E3-4D4C-BA53-AEDEBD71950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82E3-4D4C-BA53-AEDEBD71950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82E3-4D4C-BA53-AEDEBD71950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82E3-4D4C-BA53-AEDEBD71950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82E3-4D4C-BA53-AEDEBD71950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82E3-4D4C-BA53-AEDEBD71950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82E3-4D4C-BA53-AEDEBD71950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82E3-4D4C-BA53-AEDEBD71950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82E3-4D4C-BA53-AEDEBD71950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82E3-4D4C-BA53-AEDEBD71950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82E3-4D4C-BA53-AEDEBD71950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82E3-4D4C-BA53-AEDEBD71950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82E3-4D4C-BA53-AEDEBD71950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82E3-4D4C-BA53-AEDEBD71950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82E3-4D4C-BA53-AEDEBD71950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82E3-4D4C-BA53-AEDEBD71950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82E3-4D4C-BA53-AEDEBD71950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82E3-4D4C-BA53-AEDEBD71950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82E3-4D4C-BA53-AEDEBD71950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82E3-4D4C-BA53-AEDEBD71950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82E3-4D4C-BA53-AEDEBD71950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82E3-4D4C-BA53-AEDEBD71950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82E3-4D4C-BA53-AEDEBD71950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82E3-4D4C-BA53-AEDEBD71950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82E3-4D4C-BA53-AEDEBD71950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82E3-4D4C-BA53-AEDEBD71950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82E3-4D4C-BA53-AEDEBD71950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82E3-4D4C-BA53-AEDEBD71950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82E3-4D4C-BA53-AEDEBD71950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82E3-4D4C-BA53-AEDEBD71950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82E3-4D4C-BA53-AEDEBD71950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82E3-4D4C-BA53-AEDEBD71950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82E3-4D4C-BA53-AEDEBD71950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82E3-4D4C-BA53-AEDEBD71950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82E3-4D4C-BA53-AEDEBD71950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82E3-4D4C-BA53-AEDEBD71950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82E3-4D4C-BA53-AEDEBD71950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82E3-4D4C-BA53-AEDEBD71950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82E3-4D4C-BA53-AEDEBD71950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82E3-4D4C-BA53-AEDEBD71950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82E3-4D4C-BA53-AEDEBD71950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82E3-4D4C-BA53-AEDEBD71950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82E3-4D4C-BA53-AEDEBD71950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82E3-4D4C-BA53-AEDEBD71950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82E3-4D4C-BA53-AEDEBD71950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82E3-4D4C-BA53-AEDEBD71950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82E3-4D4C-BA53-AEDEBD71950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82E3-4D4C-BA53-AEDEBD71950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82E3-4D4C-BA53-AEDEBD71950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82E3-4D4C-BA53-AEDEBD71950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82E3-4D4C-BA53-AEDEBD71950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7DF9-465B-BD75-A1A80992E058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7DF9-465B-BD75-A1A80992E058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7DF9-465B-BD75-A1A80992E058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7DF9-465B-BD75-A1A80992E058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7DF9-465B-BD75-A1A80992E058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7DF9-465B-BD75-A1A80992E058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7DF9-465B-BD75-A1A80992E058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7DF9-465B-BD75-A1A80992E058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7DF9-465B-BD75-A1A80992E058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7DF9-465B-BD75-A1A80992E058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7DF9-465B-BD75-A1A80992E058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7DF9-465B-BD75-A1A80992E058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7DF9-465B-BD75-A1A80992E058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7DF9-465B-BD75-A1A80992E058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7DF9-465B-BD75-A1A80992E058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7DF9-465B-BD75-A1A80992E058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7DF9-465B-BD75-A1A80992E058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7DF9-465B-BD75-A1A80992E058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7DF9-465B-BD75-A1A80992E058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7DF9-465B-BD75-A1A80992E058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7DF9-465B-BD75-A1A80992E058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7DF9-465B-BD75-A1A80992E058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7DF9-465B-BD75-A1A80992E058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7DF9-465B-BD75-A1A80992E058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7DF9-465B-BD75-A1A80992E058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7DF9-465B-BD75-A1A80992E058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7DF9-465B-BD75-A1A80992E058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7DF9-465B-BD75-A1A80992E058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7DF9-465B-BD75-A1A80992E058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0"/>
            <c:trendlineLbl>
              <c:layout>
                <c:manualLayout>
                  <c:x val="6.4033335502955216E-3"/>
                  <c:y val="0.1389991062773840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Results'!$L$4:$L$85</c:f>
              <c:numCache>
                <c:formatCode>0.0</c:formatCode>
                <c:ptCount val="82"/>
                <c:pt idx="0">
                  <c:v>19.7842805385589</c:v>
                </c:pt>
                <c:pt idx="1">
                  <c:v>14.4291613101959</c:v>
                </c:pt>
                <c:pt idx="2">
                  <c:v>14.5863382816314</c:v>
                </c:pt>
                <c:pt idx="3">
                  <c:v>13.8914506435394</c:v>
                </c:pt>
                <c:pt idx="4">
                  <c:v>13.941042661666801</c:v>
                </c:pt>
                <c:pt idx="5">
                  <c:v>13.6777238845825</c:v>
                </c:pt>
                <c:pt idx="6">
                  <c:v>13.5354309082031</c:v>
                </c:pt>
                <c:pt idx="7">
                  <c:v>13.3648936748504</c:v>
                </c:pt>
                <c:pt idx="8">
                  <c:v>14.07</c:v>
                </c:pt>
                <c:pt idx="9">
                  <c:v>13.236284255981401</c:v>
                </c:pt>
                <c:pt idx="10">
                  <c:v>13.6608574390411</c:v>
                </c:pt>
                <c:pt idx="11">
                  <c:v>14.87</c:v>
                </c:pt>
                <c:pt idx="12">
                  <c:v>14.192711353302</c:v>
                </c:pt>
                <c:pt idx="13">
                  <c:v>14.022370338439902</c:v>
                </c:pt>
                <c:pt idx="14">
                  <c:v>13.786032676696699</c:v>
                </c:pt>
                <c:pt idx="15">
                  <c:v>13.536462306976301</c:v>
                </c:pt>
                <c:pt idx="16">
                  <c:v>13.894389390945401</c:v>
                </c:pt>
                <c:pt idx="17">
                  <c:v>16.12</c:v>
                </c:pt>
                <c:pt idx="18">
                  <c:v>14.038529157638502</c:v>
                </c:pt>
                <c:pt idx="19">
                  <c:v>13.691435098648</c:v>
                </c:pt>
                <c:pt idx="20">
                  <c:v>13.912417173385601</c:v>
                </c:pt>
                <c:pt idx="21">
                  <c:v>14.5399570465087</c:v>
                </c:pt>
                <c:pt idx="22">
                  <c:v>14.958040237426699</c:v>
                </c:pt>
                <c:pt idx="23">
                  <c:v>14.3483209609985</c:v>
                </c:pt>
                <c:pt idx="24">
                  <c:v>15.2705845832824</c:v>
                </c:pt>
                <c:pt idx="25">
                  <c:v>15.908783912658601</c:v>
                </c:pt>
                <c:pt idx="26">
                  <c:v>15.978486061096101</c:v>
                </c:pt>
                <c:pt idx="27">
                  <c:v>15.8773033618927</c:v>
                </c:pt>
                <c:pt idx="28">
                  <c:v>19.5413818359375</c:v>
                </c:pt>
                <c:pt idx="29">
                  <c:v>19.9518704414367</c:v>
                </c:pt>
                <c:pt idx="30">
                  <c:v>3.53</c:v>
                </c:pt>
                <c:pt idx="31">
                  <c:v>3.61</c:v>
                </c:pt>
                <c:pt idx="32">
                  <c:v>3.63</c:v>
                </c:pt>
                <c:pt idx="33">
                  <c:v>3.58</c:v>
                </c:pt>
                <c:pt idx="34">
                  <c:v>3.58</c:v>
                </c:pt>
                <c:pt idx="35">
                  <c:v>3.6</c:v>
                </c:pt>
                <c:pt idx="36">
                  <c:v>3.64</c:v>
                </c:pt>
                <c:pt idx="37">
                  <c:v>3.58</c:v>
                </c:pt>
                <c:pt idx="38">
                  <c:v>4.79</c:v>
                </c:pt>
                <c:pt idx="39">
                  <c:v>3.64</c:v>
                </c:pt>
                <c:pt idx="40">
                  <c:v>3.55</c:v>
                </c:pt>
                <c:pt idx="41">
                  <c:v>3.61</c:v>
                </c:pt>
                <c:pt idx="42">
                  <c:v>3.64</c:v>
                </c:pt>
                <c:pt idx="43">
                  <c:v>3.57</c:v>
                </c:pt>
                <c:pt idx="44">
                  <c:v>3.62</c:v>
                </c:pt>
                <c:pt idx="45">
                  <c:v>3.51</c:v>
                </c:pt>
                <c:pt idx="46">
                  <c:v>3.58</c:v>
                </c:pt>
                <c:pt idx="47">
                  <c:v>3.61</c:v>
                </c:pt>
                <c:pt idx="48">
                  <c:v>3.62</c:v>
                </c:pt>
                <c:pt idx="49">
                  <c:v>3.73</c:v>
                </c:pt>
                <c:pt idx="50">
                  <c:v>3.74</c:v>
                </c:pt>
                <c:pt idx="51">
                  <c:v>3.76</c:v>
                </c:pt>
                <c:pt idx="52">
                  <c:v>27.27</c:v>
                </c:pt>
                <c:pt idx="53">
                  <c:v>31.84</c:v>
                </c:pt>
                <c:pt idx="54">
                  <c:v>23.41</c:v>
                </c:pt>
                <c:pt idx="55">
                  <c:v>25.97</c:v>
                </c:pt>
                <c:pt idx="56">
                  <c:v>29.58</c:v>
                </c:pt>
                <c:pt idx="57">
                  <c:v>26.26</c:v>
                </c:pt>
                <c:pt idx="58">
                  <c:v>24.4</c:v>
                </c:pt>
                <c:pt idx="59">
                  <c:v>25.44</c:v>
                </c:pt>
                <c:pt idx="60">
                  <c:v>23.45</c:v>
                </c:pt>
                <c:pt idx="61">
                  <c:v>24.68</c:v>
                </c:pt>
                <c:pt idx="62">
                  <c:v>25.03</c:v>
                </c:pt>
                <c:pt idx="63">
                  <c:v>23.01</c:v>
                </c:pt>
                <c:pt idx="64">
                  <c:v>22.86</c:v>
                </c:pt>
                <c:pt idx="65">
                  <c:v>24.47</c:v>
                </c:pt>
                <c:pt idx="66">
                  <c:v>23.09</c:v>
                </c:pt>
                <c:pt idx="67">
                  <c:v>26.21</c:v>
                </c:pt>
                <c:pt idx="68">
                  <c:v>26.34</c:v>
                </c:pt>
                <c:pt idx="69">
                  <c:v>30.72</c:v>
                </c:pt>
                <c:pt idx="70">
                  <c:v>39.820770502090397</c:v>
                </c:pt>
                <c:pt idx="71">
                  <c:v>33.1678690910339</c:v>
                </c:pt>
                <c:pt idx="72">
                  <c:v>29.6</c:v>
                </c:pt>
                <c:pt idx="73">
                  <c:v>34.4</c:v>
                </c:pt>
                <c:pt idx="74">
                  <c:v>37.468556880950899</c:v>
                </c:pt>
                <c:pt idx="75">
                  <c:v>39.089651823043802</c:v>
                </c:pt>
                <c:pt idx="76">
                  <c:v>47.02</c:v>
                </c:pt>
                <c:pt idx="77">
                  <c:v>60.106283660000003</c:v>
                </c:pt>
                <c:pt idx="78">
                  <c:v>66.088881729999997</c:v>
                </c:pt>
                <c:pt idx="79">
                  <c:v>85.241885420000003</c:v>
                </c:pt>
                <c:pt idx="80">
                  <c:v>116.488173484802</c:v>
                </c:pt>
                <c:pt idx="81">
                  <c:v>108.36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1F-4135-9F26-C09C48F97F50}"/>
            </c:ext>
          </c:extLst>
        </c:ser>
        <c:ser>
          <c:idx val="0"/>
          <c:order val="2"/>
          <c:tx>
            <c:v>delineator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6600FF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82E3-4D4C-BA53-AEDEBD71950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82E3-4D4C-BA53-AEDEBD71950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82E3-4D4C-BA53-AEDEBD71950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82E3-4D4C-BA53-AEDEBD71950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82E3-4D4C-BA53-AEDEBD71950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82E3-4D4C-BA53-AEDEBD71950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82E3-4D4C-BA53-AEDEBD71950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82E3-4D4C-BA53-AEDEBD71950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82E3-4D4C-BA53-AEDEBD71950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82E3-4D4C-BA53-AEDEBD71950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82E3-4D4C-BA53-AEDEBD71950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82E3-4D4C-BA53-AEDEBD71950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82E3-4D4C-BA53-AEDEBD71950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82E3-4D4C-BA53-AEDEBD71950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82E3-4D4C-BA53-AEDEBD71950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82E3-4D4C-BA53-AEDEBD71950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82E3-4D4C-BA53-AEDEBD71950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82E3-4D4C-BA53-AEDEBD71950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82E3-4D4C-BA53-AEDEBD71950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82E3-4D4C-BA53-AEDEBD71950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82E3-4D4C-BA53-AEDEBD71950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82E3-4D4C-BA53-AEDEBD71950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82E3-4D4C-BA53-AEDEBD71950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82E3-4D4C-BA53-AEDEBD71950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82E3-4D4C-BA53-AEDEBD71950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82E3-4D4C-BA53-AEDEBD71950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82E3-4D4C-BA53-AEDEBD71950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82E3-4D4C-BA53-AEDEBD71950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82E3-4D4C-BA53-AEDEBD71950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82E3-4D4C-BA53-AEDEBD71950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82E3-4D4C-BA53-AEDEBD71950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82E3-4D4C-BA53-AEDEBD71950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82E3-4D4C-BA53-AEDEBD71950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82E3-4D4C-BA53-AEDEBD71950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82E3-4D4C-BA53-AEDEBD71950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82E3-4D4C-BA53-AEDEBD71950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82E3-4D4C-BA53-AEDEBD71950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82E3-4D4C-BA53-AEDEBD71950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82E3-4D4C-BA53-AEDEBD71950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82E3-4D4C-BA53-AEDEBD71950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82E3-4D4C-BA53-AEDEBD71950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82E3-4D4C-BA53-AEDEBD71950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82E3-4D4C-BA53-AEDEBD71950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82E3-4D4C-BA53-AEDEBD71950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82E3-4D4C-BA53-AEDEBD71950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82E3-4D4C-BA53-AEDEBD71950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82E3-4D4C-BA53-AEDEBD71950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82E3-4D4C-BA53-AEDEBD71950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82E3-4D4C-BA53-AEDEBD71950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82E3-4D4C-BA53-AEDEBD71950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82E3-4D4C-BA53-AEDEBD71950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82E3-4D4C-BA53-AEDEBD71950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82E3-4D4C-BA53-AEDEBD71950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7DF9-465B-BD75-A1A80992E058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7DF9-465B-BD75-A1A80992E058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7DF9-465B-BD75-A1A80992E058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7DF9-465B-BD75-A1A80992E058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7DF9-465B-BD75-A1A80992E058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7DF9-465B-BD75-A1A80992E058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7DF9-465B-BD75-A1A80992E058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7DF9-465B-BD75-A1A80992E058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7DF9-465B-BD75-A1A80992E058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7DF9-465B-BD75-A1A80992E058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7DF9-465B-BD75-A1A80992E058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7DF9-465B-BD75-A1A80992E058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7DF9-465B-BD75-A1A80992E058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7DF9-465B-BD75-A1A80992E058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7DF9-465B-BD75-A1A80992E058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7DF9-465B-BD75-A1A80992E058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7DF9-465B-BD75-A1A80992E058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7DF9-465B-BD75-A1A80992E058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7DF9-465B-BD75-A1A80992E058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7DF9-465B-BD75-A1A80992E058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7DF9-465B-BD75-A1A80992E058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7DF9-465B-BD75-A1A80992E058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7DF9-465B-BD75-A1A80992E058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7DF9-465B-BD75-A1A80992E058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7DF9-465B-BD75-A1A80992E058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7DF9-465B-BD75-A1A80992E058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7DF9-465B-BD75-A1A80992E058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7DF9-465B-BD75-A1A80992E058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7DF9-465B-BD75-A1A80992E058}"/>
              </c:ext>
            </c:extLst>
          </c:dPt>
          <c:trendline>
            <c:spPr>
              <a:ln w="19050" cap="rnd">
                <a:solidFill>
                  <a:srgbClr val="6600FF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19799763673569962"/>
                  <c:y val="6.2894406915602594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600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Results'!$K$4:$K$85</c:f>
              <c:numCache>
                <c:formatCode>General</c:formatCode>
                <c:ptCount val="82"/>
                <c:pt idx="0">
                  <c:v>0.14000000000000001</c:v>
                </c:pt>
                <c:pt idx="1">
                  <c:v>0.34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0.17</c:v>
                </c:pt>
                <c:pt idx="5">
                  <c:v>0.16</c:v>
                </c:pt>
                <c:pt idx="6">
                  <c:v>0.16</c:v>
                </c:pt>
                <c:pt idx="7">
                  <c:v>0.2</c:v>
                </c:pt>
                <c:pt idx="8">
                  <c:v>0.24</c:v>
                </c:pt>
                <c:pt idx="9">
                  <c:v>0.3</c:v>
                </c:pt>
                <c:pt idx="10">
                  <c:v>0.21</c:v>
                </c:pt>
                <c:pt idx="11">
                  <c:v>0.24</c:v>
                </c:pt>
                <c:pt idx="12">
                  <c:v>0.26</c:v>
                </c:pt>
                <c:pt idx="13">
                  <c:v>0.24</c:v>
                </c:pt>
                <c:pt idx="14">
                  <c:v>0.2</c:v>
                </c:pt>
                <c:pt idx="15">
                  <c:v>0.21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0.36</c:v>
                </c:pt>
                <c:pt idx="19">
                  <c:v>0.31</c:v>
                </c:pt>
                <c:pt idx="20">
                  <c:v>0.32</c:v>
                </c:pt>
                <c:pt idx="21">
                  <c:v>0.43</c:v>
                </c:pt>
                <c:pt idx="22">
                  <c:v>0.53</c:v>
                </c:pt>
                <c:pt idx="23">
                  <c:v>0.51</c:v>
                </c:pt>
                <c:pt idx="24">
                  <c:v>0.57999999999999996</c:v>
                </c:pt>
                <c:pt idx="25">
                  <c:v>0.71</c:v>
                </c:pt>
                <c:pt idx="26">
                  <c:v>0.71</c:v>
                </c:pt>
                <c:pt idx="27">
                  <c:v>0.63</c:v>
                </c:pt>
                <c:pt idx="28">
                  <c:v>0.88</c:v>
                </c:pt>
                <c:pt idx="29">
                  <c:v>0.97</c:v>
                </c:pt>
                <c:pt idx="30">
                  <c:v>0.16</c:v>
                </c:pt>
                <c:pt idx="31">
                  <c:v>0.19</c:v>
                </c:pt>
                <c:pt idx="32">
                  <c:v>0.19</c:v>
                </c:pt>
                <c:pt idx="33">
                  <c:v>0.28999999999999998</c:v>
                </c:pt>
                <c:pt idx="34">
                  <c:v>0.22</c:v>
                </c:pt>
                <c:pt idx="35">
                  <c:v>0.21</c:v>
                </c:pt>
                <c:pt idx="36">
                  <c:v>0.21</c:v>
                </c:pt>
                <c:pt idx="37">
                  <c:v>0.21</c:v>
                </c:pt>
                <c:pt idx="38">
                  <c:v>0.2</c:v>
                </c:pt>
                <c:pt idx="39">
                  <c:v>0.21</c:v>
                </c:pt>
                <c:pt idx="40">
                  <c:v>0.22</c:v>
                </c:pt>
                <c:pt idx="41">
                  <c:v>0.24</c:v>
                </c:pt>
                <c:pt idx="42">
                  <c:v>0.25</c:v>
                </c:pt>
                <c:pt idx="43">
                  <c:v>0.22</c:v>
                </c:pt>
                <c:pt idx="44">
                  <c:v>0.26</c:v>
                </c:pt>
                <c:pt idx="45">
                  <c:v>0.18</c:v>
                </c:pt>
                <c:pt idx="46">
                  <c:v>0.28999999999999998</c:v>
                </c:pt>
                <c:pt idx="47">
                  <c:v>0.33</c:v>
                </c:pt>
                <c:pt idx="48">
                  <c:v>0.42</c:v>
                </c:pt>
                <c:pt idx="49">
                  <c:v>0.32</c:v>
                </c:pt>
                <c:pt idx="50">
                  <c:v>0.32</c:v>
                </c:pt>
                <c:pt idx="51">
                  <c:v>0.44</c:v>
                </c:pt>
                <c:pt idx="52">
                  <c:v>0.15</c:v>
                </c:pt>
                <c:pt idx="53">
                  <c:v>0.26</c:v>
                </c:pt>
                <c:pt idx="54">
                  <c:v>0.33</c:v>
                </c:pt>
                <c:pt idx="55">
                  <c:v>0.33</c:v>
                </c:pt>
                <c:pt idx="56">
                  <c:v>0.28000000000000003</c:v>
                </c:pt>
                <c:pt idx="57">
                  <c:v>0.26</c:v>
                </c:pt>
                <c:pt idx="58">
                  <c:v>0.35</c:v>
                </c:pt>
                <c:pt idx="59">
                  <c:v>0.36</c:v>
                </c:pt>
                <c:pt idx="60">
                  <c:v>0.3</c:v>
                </c:pt>
                <c:pt idx="61">
                  <c:v>0.42</c:v>
                </c:pt>
                <c:pt idx="62">
                  <c:v>0.4</c:v>
                </c:pt>
                <c:pt idx="63">
                  <c:v>0.56000000000000005</c:v>
                </c:pt>
                <c:pt idx="64">
                  <c:v>0.54</c:v>
                </c:pt>
                <c:pt idx="65">
                  <c:v>0.61</c:v>
                </c:pt>
                <c:pt idx="66">
                  <c:v>0.7</c:v>
                </c:pt>
                <c:pt idx="67">
                  <c:v>0.56000000000000005</c:v>
                </c:pt>
                <c:pt idx="68">
                  <c:v>0.87</c:v>
                </c:pt>
                <c:pt idx="69">
                  <c:v>1</c:v>
                </c:pt>
                <c:pt idx="70">
                  <c:v>1.1200000000000001</c:v>
                </c:pt>
                <c:pt idx="71">
                  <c:v>1.55</c:v>
                </c:pt>
                <c:pt idx="72">
                  <c:v>1.25</c:v>
                </c:pt>
                <c:pt idx="73">
                  <c:v>1.95</c:v>
                </c:pt>
                <c:pt idx="74">
                  <c:v>2.4500000000000002</c:v>
                </c:pt>
                <c:pt idx="75">
                  <c:v>4.49</c:v>
                </c:pt>
                <c:pt idx="76">
                  <c:v>3.95</c:v>
                </c:pt>
                <c:pt idx="77">
                  <c:v>4.57</c:v>
                </c:pt>
                <c:pt idx="78">
                  <c:v>6.29</c:v>
                </c:pt>
                <c:pt idx="79">
                  <c:v>6.67</c:v>
                </c:pt>
                <c:pt idx="80">
                  <c:v>10.119999999999999</c:v>
                </c:pt>
                <c:pt idx="81">
                  <c:v>12.12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1F-4135-9F26-C09C48F97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061759"/>
        <c:axId val="615415983"/>
      </c:scatterChart>
      <c:valAx>
        <c:axId val="61206175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 b="0"/>
                  <a:t>Delineated</a:t>
                </a:r>
                <a:r>
                  <a:rPr lang="fr-FR" b="0" baseline="0"/>
                  <a:t> b</a:t>
                </a:r>
                <a:r>
                  <a:rPr lang="fr-FR" b="0"/>
                  <a:t>asin area, km²</a:t>
                </a:r>
              </a:p>
            </c:rich>
          </c:tx>
          <c:layout>
            <c:manualLayout>
              <c:xMode val="edge"/>
              <c:yMode val="edge"/>
              <c:x val="0.34339806179040994"/>
              <c:y val="0.8808478167177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415983"/>
        <c:crossesAt val="1.0000000000000002E-3"/>
        <c:crossBetween val="midCat"/>
      </c:valAx>
      <c:valAx>
        <c:axId val="615415983"/>
        <c:scaling>
          <c:logBase val="10"/>
          <c:orientation val="minMax"/>
          <c:max val="220"/>
          <c:min val="0.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Delineation time (seconds)</a:t>
                </a:r>
              </a:p>
            </c:rich>
          </c:tx>
          <c:layout>
            <c:manualLayout>
              <c:xMode val="edge"/>
              <c:yMode val="edge"/>
              <c:x val="2.8120977416348513E-2"/>
              <c:y val="0.12843815003608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2061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637526624492097"/>
          <c:y val="0.51496279343132778"/>
          <c:w val="0.18028185900305915"/>
          <c:h val="0.1657618508018904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" l="0" r="0" t="0" header="0" footer="0"/>
    <c:pageSetup paperSize="11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644094699972"/>
          <c:y val="2.8387835594100262E-2"/>
          <c:w val="0.8290267762357596"/>
          <c:h val="0.7155579611605728"/>
        </c:manualLayout>
      </c:layout>
      <c:scatterChart>
        <c:scatterStyle val="lineMarker"/>
        <c:varyColors val="0"/>
        <c:ser>
          <c:idx val="3"/>
          <c:order val="0"/>
          <c:tx>
            <c:v>TauDEM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0D2-48F9-BAF6-A1DAE0B9AD1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0D2-48F9-BAF6-A1DAE0B9AD1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0D2-48F9-BAF6-A1DAE0B9AD1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0D2-48F9-BAF6-A1DAE0B9AD1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0D2-48F9-BAF6-A1DAE0B9AD1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0D2-48F9-BAF6-A1DAE0B9AD1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0D2-48F9-BAF6-A1DAE0B9AD1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0D2-48F9-BAF6-A1DAE0B9AD1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0D2-48F9-BAF6-A1DAE0B9AD1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0D2-48F9-BAF6-A1DAE0B9AD1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0D2-48F9-BAF6-A1DAE0B9AD1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0D2-48F9-BAF6-A1DAE0B9AD1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0D2-48F9-BAF6-A1DAE0B9AD1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0D2-48F9-BAF6-A1DAE0B9AD1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0D2-48F9-BAF6-A1DAE0B9AD1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0D2-48F9-BAF6-A1DAE0B9AD1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0D2-48F9-BAF6-A1DAE0B9AD1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0D2-48F9-BAF6-A1DAE0B9AD1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0D2-48F9-BAF6-A1DAE0B9AD1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0D2-48F9-BAF6-A1DAE0B9AD1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0D2-48F9-BAF6-A1DAE0B9AD1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0D2-48F9-BAF6-A1DAE0B9AD1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0D2-48F9-BAF6-A1DAE0B9AD1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0D2-48F9-BAF6-A1DAE0B9AD1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A0D2-48F9-BAF6-A1DAE0B9AD1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A0D2-48F9-BAF6-A1DAE0B9AD1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A0D2-48F9-BAF6-A1DAE0B9AD1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A0D2-48F9-BAF6-A1DAE0B9AD1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A0D2-48F9-BAF6-A1DAE0B9AD1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A0D2-48F9-BAF6-A1DAE0B9AD1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0D2-48F9-BAF6-A1DAE0B9AD1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A0D2-48F9-BAF6-A1DAE0B9AD1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0D2-48F9-BAF6-A1DAE0B9AD1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A0D2-48F9-BAF6-A1DAE0B9AD1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A0D2-48F9-BAF6-A1DAE0B9AD1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A0D2-48F9-BAF6-A1DAE0B9AD1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A0D2-48F9-BAF6-A1DAE0B9AD1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A0D2-48F9-BAF6-A1DAE0B9AD1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A0D2-48F9-BAF6-A1DAE0B9AD1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A0D2-48F9-BAF6-A1DAE0B9AD1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A0D2-48F9-BAF6-A1DAE0B9AD1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A0D2-48F9-BAF6-A1DAE0B9AD1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A0D2-48F9-BAF6-A1DAE0B9AD1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A0D2-48F9-BAF6-A1DAE0B9AD1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A0D2-48F9-BAF6-A1DAE0B9AD1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A0D2-48F9-BAF6-A1DAE0B9AD1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A0D2-48F9-BAF6-A1DAE0B9AD1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A0D2-48F9-BAF6-A1DAE0B9AD1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A0D2-48F9-BAF6-A1DAE0B9AD1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A0D2-48F9-BAF6-A1DAE0B9AD1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A0D2-48F9-BAF6-A1DAE0B9AD1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A0D2-48F9-BAF6-A1DAE0B9AD1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A0D2-48F9-BAF6-A1DAE0B9AD1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A0D2-48F9-BAF6-A1DAE0B9AD16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A0D2-48F9-BAF6-A1DAE0B9AD16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A0D2-48F9-BAF6-A1DAE0B9AD16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A0D2-48F9-BAF6-A1DAE0B9AD16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A0D2-48F9-BAF6-A1DAE0B9AD16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A0D2-48F9-BAF6-A1DAE0B9AD16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A0D2-48F9-BAF6-A1DAE0B9AD16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A0D2-48F9-BAF6-A1DAE0B9AD16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A0D2-48F9-BAF6-A1DAE0B9AD16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A0D2-48F9-BAF6-A1DAE0B9AD16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A0D2-48F9-BAF6-A1DAE0B9AD16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A0D2-48F9-BAF6-A1DAE0B9AD16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A0D2-48F9-BAF6-A1DAE0B9AD16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A0D2-48F9-BAF6-A1DAE0B9AD16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A0D2-48F9-BAF6-A1DAE0B9AD16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A0D2-48F9-BAF6-A1DAE0B9AD16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A0D2-48F9-BAF6-A1DAE0B9AD16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A0D2-48F9-BAF6-A1DAE0B9AD16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A0D2-48F9-BAF6-A1DAE0B9AD16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A0D2-48F9-BAF6-A1DAE0B9AD16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A0D2-48F9-BAF6-A1DAE0B9AD16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A0D2-48F9-BAF6-A1DAE0B9AD16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A0D2-48F9-BAF6-A1DAE0B9AD16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A0D2-48F9-BAF6-A1DAE0B9AD16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A0D2-48F9-BAF6-A1DAE0B9AD16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A0D2-48F9-BAF6-A1DAE0B9AD16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A0D2-48F9-BAF6-A1DAE0B9AD16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A0D2-48F9-BAF6-A1DAE0B9AD16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A0D2-48F9-BAF6-A1DAE0B9AD16}"/>
              </c:ext>
            </c:extLst>
          </c:dPt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2.9584405635773563E-2"/>
                  <c:y val="-2.166158173192814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1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Results'!$M$4:$M$85</c:f>
              <c:numCache>
                <c:formatCode>0.0</c:formatCode>
                <c:ptCount val="82"/>
                <c:pt idx="0">
                  <c:v>43.5</c:v>
                </c:pt>
                <c:pt idx="1">
                  <c:v>53</c:v>
                </c:pt>
                <c:pt idx="2">
                  <c:v>52.4</c:v>
                </c:pt>
                <c:pt idx="3">
                  <c:v>48.5</c:v>
                </c:pt>
                <c:pt idx="4">
                  <c:v>46.6</c:v>
                </c:pt>
                <c:pt idx="5">
                  <c:v>47.9</c:v>
                </c:pt>
                <c:pt idx="6">
                  <c:v>44.7</c:v>
                </c:pt>
                <c:pt idx="7">
                  <c:v>48.7</c:v>
                </c:pt>
                <c:pt idx="8">
                  <c:v>42.8</c:v>
                </c:pt>
                <c:pt idx="9">
                  <c:v>49.6</c:v>
                </c:pt>
                <c:pt idx="10">
                  <c:v>47.4</c:v>
                </c:pt>
                <c:pt idx="11">
                  <c:v>39.299999999999997</c:v>
                </c:pt>
                <c:pt idx="12">
                  <c:v>48.6</c:v>
                </c:pt>
                <c:pt idx="13">
                  <c:v>46.7</c:v>
                </c:pt>
                <c:pt idx="14">
                  <c:v>48.2</c:v>
                </c:pt>
                <c:pt idx="15">
                  <c:v>47</c:v>
                </c:pt>
                <c:pt idx="16">
                  <c:v>45.8</c:v>
                </c:pt>
                <c:pt idx="17">
                  <c:v>42.1</c:v>
                </c:pt>
                <c:pt idx="18">
                  <c:v>43.1</c:v>
                </c:pt>
                <c:pt idx="19">
                  <c:v>42.5</c:v>
                </c:pt>
                <c:pt idx="20">
                  <c:v>41.9</c:v>
                </c:pt>
                <c:pt idx="21">
                  <c:v>43</c:v>
                </c:pt>
                <c:pt idx="22">
                  <c:v>42.8</c:v>
                </c:pt>
                <c:pt idx="23">
                  <c:v>42.5</c:v>
                </c:pt>
                <c:pt idx="24">
                  <c:v>42.9</c:v>
                </c:pt>
                <c:pt idx="25">
                  <c:v>45.9</c:v>
                </c:pt>
                <c:pt idx="26">
                  <c:v>44.4</c:v>
                </c:pt>
                <c:pt idx="27">
                  <c:v>43.1</c:v>
                </c:pt>
                <c:pt idx="28">
                  <c:v>43.8</c:v>
                </c:pt>
                <c:pt idx="29">
                  <c:v>44.9</c:v>
                </c:pt>
                <c:pt idx="30">
                  <c:v>13.7</c:v>
                </c:pt>
                <c:pt idx="31">
                  <c:v>10.6</c:v>
                </c:pt>
                <c:pt idx="32">
                  <c:v>14.4</c:v>
                </c:pt>
                <c:pt idx="33">
                  <c:v>11.9</c:v>
                </c:pt>
                <c:pt idx="34">
                  <c:v>11.7</c:v>
                </c:pt>
                <c:pt idx="35">
                  <c:v>12.4</c:v>
                </c:pt>
                <c:pt idx="36">
                  <c:v>10.6</c:v>
                </c:pt>
                <c:pt idx="37">
                  <c:v>13.6</c:v>
                </c:pt>
                <c:pt idx="38">
                  <c:v>11.1</c:v>
                </c:pt>
                <c:pt idx="39">
                  <c:v>11.5</c:v>
                </c:pt>
                <c:pt idx="40">
                  <c:v>10.7</c:v>
                </c:pt>
                <c:pt idx="41">
                  <c:v>11.1</c:v>
                </c:pt>
                <c:pt idx="42">
                  <c:v>11.5</c:v>
                </c:pt>
                <c:pt idx="43">
                  <c:v>11.6</c:v>
                </c:pt>
                <c:pt idx="44">
                  <c:v>10.8</c:v>
                </c:pt>
                <c:pt idx="45">
                  <c:v>11.8</c:v>
                </c:pt>
                <c:pt idx="46">
                  <c:v>12.7</c:v>
                </c:pt>
                <c:pt idx="47">
                  <c:v>13.9</c:v>
                </c:pt>
                <c:pt idx="48">
                  <c:v>13.3</c:v>
                </c:pt>
                <c:pt idx="49">
                  <c:v>14</c:v>
                </c:pt>
                <c:pt idx="50">
                  <c:v>11.1</c:v>
                </c:pt>
                <c:pt idx="51">
                  <c:v>10.8</c:v>
                </c:pt>
                <c:pt idx="52">
                  <c:v>49.3</c:v>
                </c:pt>
                <c:pt idx="53">
                  <c:v>51.3</c:v>
                </c:pt>
                <c:pt idx="54">
                  <c:v>65.099999999999994</c:v>
                </c:pt>
                <c:pt idx="55">
                  <c:v>72.099999999999994</c:v>
                </c:pt>
                <c:pt idx="56">
                  <c:v>59.8</c:v>
                </c:pt>
                <c:pt idx="57">
                  <c:v>52.7</c:v>
                </c:pt>
                <c:pt idx="58">
                  <c:v>57.3</c:v>
                </c:pt>
                <c:pt idx="59">
                  <c:v>63.5</c:v>
                </c:pt>
                <c:pt idx="60">
                  <c:v>54.9</c:v>
                </c:pt>
                <c:pt idx="61">
                  <c:v>63.6</c:v>
                </c:pt>
                <c:pt idx="62">
                  <c:v>58.8</c:v>
                </c:pt>
                <c:pt idx="63">
                  <c:v>54.8</c:v>
                </c:pt>
                <c:pt idx="64">
                  <c:v>52.9</c:v>
                </c:pt>
                <c:pt idx="65">
                  <c:v>52.3</c:v>
                </c:pt>
                <c:pt idx="66">
                  <c:v>55.3</c:v>
                </c:pt>
                <c:pt idx="67">
                  <c:v>56.3</c:v>
                </c:pt>
                <c:pt idx="68">
                  <c:v>52.7</c:v>
                </c:pt>
                <c:pt idx="69">
                  <c:v>54.7</c:v>
                </c:pt>
                <c:pt idx="70">
                  <c:v>51.7</c:v>
                </c:pt>
                <c:pt idx="71">
                  <c:v>52.9</c:v>
                </c:pt>
                <c:pt idx="72">
                  <c:v>52.5</c:v>
                </c:pt>
                <c:pt idx="73">
                  <c:v>53.3</c:v>
                </c:pt>
                <c:pt idx="74">
                  <c:v>56.9</c:v>
                </c:pt>
                <c:pt idx="75">
                  <c:v>56.3</c:v>
                </c:pt>
                <c:pt idx="76">
                  <c:v>62.3</c:v>
                </c:pt>
                <c:pt idx="77">
                  <c:v>68.900000000000006</c:v>
                </c:pt>
                <c:pt idx="78">
                  <c:v>49</c:v>
                </c:pt>
                <c:pt idx="79">
                  <c:v>53.6</c:v>
                </c:pt>
                <c:pt idx="80">
                  <c:v>104</c:v>
                </c:pt>
                <c:pt idx="8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A0D2-48F9-BAF6-A1DAE0B9AD16}"/>
            </c:ext>
          </c:extLst>
        </c:ser>
        <c:ser>
          <c:idx val="1"/>
          <c:order val="1"/>
          <c:tx>
            <c:v>pysheds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A0D2-48F9-BAF6-A1DAE0B9AD1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A0D2-48F9-BAF6-A1DAE0B9AD1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A0D2-48F9-BAF6-A1DAE0B9AD1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A0D2-48F9-BAF6-A1DAE0B9AD1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A0D2-48F9-BAF6-A1DAE0B9AD1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A0D2-48F9-BAF6-A1DAE0B9AD1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A0D2-48F9-BAF6-A1DAE0B9AD1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A0D2-48F9-BAF6-A1DAE0B9AD1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A0D2-48F9-BAF6-A1DAE0B9AD1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A0D2-48F9-BAF6-A1DAE0B9AD1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A0D2-48F9-BAF6-A1DAE0B9AD1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A0D2-48F9-BAF6-A1DAE0B9AD1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A0D2-48F9-BAF6-A1DAE0B9AD1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A0D2-48F9-BAF6-A1DAE0B9AD1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A0D2-48F9-BAF6-A1DAE0B9AD1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A0D2-48F9-BAF6-A1DAE0B9AD1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A0D2-48F9-BAF6-A1DAE0B9AD1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A0D2-48F9-BAF6-A1DAE0B9AD1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A0D2-48F9-BAF6-A1DAE0B9AD1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A0D2-48F9-BAF6-A1DAE0B9AD1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A0D2-48F9-BAF6-A1DAE0B9AD1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A0D2-48F9-BAF6-A1DAE0B9AD1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A0D2-48F9-BAF6-A1DAE0B9AD1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A0D2-48F9-BAF6-A1DAE0B9AD1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A0D2-48F9-BAF6-A1DAE0B9AD1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A0D2-48F9-BAF6-A1DAE0B9AD1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A0D2-48F9-BAF6-A1DAE0B9AD1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A0D2-48F9-BAF6-A1DAE0B9AD1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A0D2-48F9-BAF6-A1DAE0B9AD1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A0D2-48F9-BAF6-A1DAE0B9AD1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A0D2-48F9-BAF6-A1DAE0B9AD1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A0D2-48F9-BAF6-A1DAE0B9AD1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A0D2-48F9-BAF6-A1DAE0B9AD1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A0D2-48F9-BAF6-A1DAE0B9AD1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A0D2-48F9-BAF6-A1DAE0B9AD1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A0D2-48F9-BAF6-A1DAE0B9AD1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A0D2-48F9-BAF6-A1DAE0B9AD1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A0D2-48F9-BAF6-A1DAE0B9AD1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A0D2-48F9-BAF6-A1DAE0B9AD1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A0D2-48F9-BAF6-A1DAE0B9AD1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A0D2-48F9-BAF6-A1DAE0B9AD1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A0D2-48F9-BAF6-A1DAE0B9AD1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A0D2-48F9-BAF6-A1DAE0B9AD1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A0D2-48F9-BAF6-A1DAE0B9AD1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A0D2-48F9-BAF6-A1DAE0B9AD1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A0D2-48F9-BAF6-A1DAE0B9AD1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A0D2-48F9-BAF6-A1DAE0B9AD1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A0D2-48F9-BAF6-A1DAE0B9AD1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A0D2-48F9-BAF6-A1DAE0B9AD1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A0D2-48F9-BAF6-A1DAE0B9AD1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A0D2-48F9-BAF6-A1DAE0B9AD1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A0D2-48F9-BAF6-A1DAE0B9AD1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A0D2-48F9-BAF6-A1DAE0B9AD1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A0D2-48F9-BAF6-A1DAE0B9AD16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A0D2-48F9-BAF6-A1DAE0B9AD16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A0D2-48F9-BAF6-A1DAE0B9AD16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A0D2-48F9-BAF6-A1DAE0B9AD16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A0D2-48F9-BAF6-A1DAE0B9AD16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A0D2-48F9-BAF6-A1DAE0B9AD16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A0D2-48F9-BAF6-A1DAE0B9AD16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A0D2-48F9-BAF6-A1DAE0B9AD16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A0D2-48F9-BAF6-A1DAE0B9AD16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A0D2-48F9-BAF6-A1DAE0B9AD16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A0D2-48F9-BAF6-A1DAE0B9AD16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A0D2-48F9-BAF6-A1DAE0B9AD16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A0D2-48F9-BAF6-A1DAE0B9AD16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0D2-48F9-BAF6-A1DAE0B9AD16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A0D2-48F9-BAF6-A1DAE0B9AD16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A0D2-48F9-BAF6-A1DAE0B9AD16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A0D2-48F9-BAF6-A1DAE0B9AD16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A0D2-48F9-BAF6-A1DAE0B9AD16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A0D2-48F9-BAF6-A1DAE0B9AD16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A0D2-48F9-BAF6-A1DAE0B9AD16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A0D2-48F9-BAF6-A1DAE0B9AD16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A0D2-48F9-BAF6-A1DAE0B9AD16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A0D2-48F9-BAF6-A1DAE0B9AD16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A0D2-48F9-BAF6-A1DAE0B9AD16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A0D2-48F9-BAF6-A1DAE0B9AD16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A0D2-48F9-BAF6-A1DAE0B9AD16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A0D2-48F9-BAF6-A1DAE0B9AD16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A0D2-48F9-BAF6-A1DAE0B9AD16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A0D2-48F9-BAF6-A1DAE0B9AD16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7.4971126141447644E-2"/>
                  <c:y val="0.10131677964395935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Results'!$L$4:$L$85</c:f>
              <c:numCache>
                <c:formatCode>0.0</c:formatCode>
                <c:ptCount val="82"/>
                <c:pt idx="0">
                  <c:v>19.7842805385589</c:v>
                </c:pt>
                <c:pt idx="1">
                  <c:v>14.4291613101959</c:v>
                </c:pt>
                <c:pt idx="2">
                  <c:v>14.5863382816314</c:v>
                </c:pt>
                <c:pt idx="3">
                  <c:v>13.8914506435394</c:v>
                </c:pt>
                <c:pt idx="4">
                  <c:v>13.941042661666801</c:v>
                </c:pt>
                <c:pt idx="5">
                  <c:v>13.6777238845825</c:v>
                </c:pt>
                <c:pt idx="6">
                  <c:v>13.5354309082031</c:v>
                </c:pt>
                <c:pt idx="7">
                  <c:v>13.3648936748504</c:v>
                </c:pt>
                <c:pt idx="8">
                  <c:v>14.07</c:v>
                </c:pt>
                <c:pt idx="9">
                  <c:v>13.236284255981401</c:v>
                </c:pt>
                <c:pt idx="10">
                  <c:v>13.6608574390411</c:v>
                </c:pt>
                <c:pt idx="11">
                  <c:v>14.87</c:v>
                </c:pt>
                <c:pt idx="12">
                  <c:v>14.192711353302</c:v>
                </c:pt>
                <c:pt idx="13">
                  <c:v>14.022370338439902</c:v>
                </c:pt>
                <c:pt idx="14">
                  <c:v>13.786032676696699</c:v>
                </c:pt>
                <c:pt idx="15">
                  <c:v>13.536462306976301</c:v>
                </c:pt>
                <c:pt idx="16">
                  <c:v>13.894389390945401</c:v>
                </c:pt>
                <c:pt idx="17">
                  <c:v>16.12</c:v>
                </c:pt>
                <c:pt idx="18">
                  <c:v>14.038529157638502</c:v>
                </c:pt>
                <c:pt idx="19">
                  <c:v>13.691435098648</c:v>
                </c:pt>
                <c:pt idx="20">
                  <c:v>13.912417173385601</c:v>
                </c:pt>
                <c:pt idx="21">
                  <c:v>14.5399570465087</c:v>
                </c:pt>
                <c:pt idx="22">
                  <c:v>14.958040237426699</c:v>
                </c:pt>
                <c:pt idx="23">
                  <c:v>14.3483209609985</c:v>
                </c:pt>
                <c:pt idx="24">
                  <c:v>15.2705845832824</c:v>
                </c:pt>
                <c:pt idx="25">
                  <c:v>15.908783912658601</c:v>
                </c:pt>
                <c:pt idx="26">
                  <c:v>15.978486061096101</c:v>
                </c:pt>
                <c:pt idx="27">
                  <c:v>15.8773033618927</c:v>
                </c:pt>
                <c:pt idx="28">
                  <c:v>19.5413818359375</c:v>
                </c:pt>
                <c:pt idx="29">
                  <c:v>19.9518704414367</c:v>
                </c:pt>
                <c:pt idx="30">
                  <c:v>3.53</c:v>
                </c:pt>
                <c:pt idx="31">
                  <c:v>3.61</c:v>
                </c:pt>
                <c:pt idx="32">
                  <c:v>3.63</c:v>
                </c:pt>
                <c:pt idx="33">
                  <c:v>3.58</c:v>
                </c:pt>
                <c:pt idx="34">
                  <c:v>3.58</c:v>
                </c:pt>
                <c:pt idx="35">
                  <c:v>3.6</c:v>
                </c:pt>
                <c:pt idx="36">
                  <c:v>3.64</c:v>
                </c:pt>
                <c:pt idx="37">
                  <c:v>3.58</c:v>
                </c:pt>
                <c:pt idx="38">
                  <c:v>4.79</c:v>
                </c:pt>
                <c:pt idx="39">
                  <c:v>3.64</c:v>
                </c:pt>
                <c:pt idx="40">
                  <c:v>3.55</c:v>
                </c:pt>
                <c:pt idx="41">
                  <c:v>3.61</c:v>
                </c:pt>
                <c:pt idx="42">
                  <c:v>3.64</c:v>
                </c:pt>
                <c:pt idx="43">
                  <c:v>3.57</c:v>
                </c:pt>
                <c:pt idx="44">
                  <c:v>3.62</c:v>
                </c:pt>
                <c:pt idx="45">
                  <c:v>3.51</c:v>
                </c:pt>
                <c:pt idx="46">
                  <c:v>3.58</c:v>
                </c:pt>
                <c:pt idx="47">
                  <c:v>3.61</c:v>
                </c:pt>
                <c:pt idx="48">
                  <c:v>3.62</c:v>
                </c:pt>
                <c:pt idx="49">
                  <c:v>3.73</c:v>
                </c:pt>
                <c:pt idx="50">
                  <c:v>3.74</c:v>
                </c:pt>
                <c:pt idx="51">
                  <c:v>3.76</c:v>
                </c:pt>
                <c:pt idx="52">
                  <c:v>27.27</c:v>
                </c:pt>
                <c:pt idx="53">
                  <c:v>31.84</c:v>
                </c:pt>
                <c:pt idx="54">
                  <c:v>23.41</c:v>
                </c:pt>
                <c:pt idx="55">
                  <c:v>25.97</c:v>
                </c:pt>
                <c:pt idx="56">
                  <c:v>29.58</c:v>
                </c:pt>
                <c:pt idx="57">
                  <c:v>26.26</c:v>
                </c:pt>
                <c:pt idx="58">
                  <c:v>24.4</c:v>
                </c:pt>
                <c:pt idx="59">
                  <c:v>25.44</c:v>
                </c:pt>
                <c:pt idx="60">
                  <c:v>23.45</c:v>
                </c:pt>
                <c:pt idx="61">
                  <c:v>24.68</c:v>
                </c:pt>
                <c:pt idx="62">
                  <c:v>25.03</c:v>
                </c:pt>
                <c:pt idx="63">
                  <c:v>23.01</c:v>
                </c:pt>
                <c:pt idx="64">
                  <c:v>22.86</c:v>
                </c:pt>
                <c:pt idx="65">
                  <c:v>24.47</c:v>
                </c:pt>
                <c:pt idx="66">
                  <c:v>23.09</c:v>
                </c:pt>
                <c:pt idx="67">
                  <c:v>26.21</c:v>
                </c:pt>
                <c:pt idx="68">
                  <c:v>26.34</c:v>
                </c:pt>
                <c:pt idx="69">
                  <c:v>30.72</c:v>
                </c:pt>
                <c:pt idx="70">
                  <c:v>39.820770502090397</c:v>
                </c:pt>
                <c:pt idx="71">
                  <c:v>33.1678690910339</c:v>
                </c:pt>
                <c:pt idx="72">
                  <c:v>29.6</c:v>
                </c:pt>
                <c:pt idx="73">
                  <c:v>34.4</c:v>
                </c:pt>
                <c:pt idx="74">
                  <c:v>37.468556880950899</c:v>
                </c:pt>
                <c:pt idx="75">
                  <c:v>39.089651823043802</c:v>
                </c:pt>
                <c:pt idx="76">
                  <c:v>47.02</c:v>
                </c:pt>
                <c:pt idx="77">
                  <c:v>60.106283660000003</c:v>
                </c:pt>
                <c:pt idx="78">
                  <c:v>66.088881729999997</c:v>
                </c:pt>
                <c:pt idx="79">
                  <c:v>85.241885420000003</c:v>
                </c:pt>
                <c:pt idx="80">
                  <c:v>116.488173484802</c:v>
                </c:pt>
                <c:pt idx="81">
                  <c:v>108.36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A0D2-48F9-BAF6-A1DAE0B9AD16}"/>
            </c:ext>
          </c:extLst>
        </c:ser>
        <c:ser>
          <c:idx val="0"/>
          <c:order val="2"/>
          <c:tx>
            <c:v>delineator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rgbClr val="6600FF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A0D2-48F9-BAF6-A1DAE0B9AD16}"/>
              </c:ext>
            </c:extLst>
          </c:dPt>
          <c:dPt>
            <c:idx val="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A0D2-48F9-BAF6-A1DAE0B9AD16}"/>
              </c:ext>
            </c:extLst>
          </c:dPt>
          <c:dPt>
            <c:idx val="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A0D2-48F9-BAF6-A1DAE0B9AD16}"/>
              </c:ext>
            </c:extLst>
          </c:dPt>
          <c:dPt>
            <c:idx val="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A0D2-48F9-BAF6-A1DAE0B9AD16}"/>
              </c:ext>
            </c:extLst>
          </c:dPt>
          <c:dPt>
            <c:idx val="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A0D2-48F9-BAF6-A1DAE0B9AD16}"/>
              </c:ext>
            </c:extLst>
          </c:dPt>
          <c:dPt>
            <c:idx val="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A0D2-48F9-BAF6-A1DAE0B9AD16}"/>
              </c:ext>
            </c:extLst>
          </c:dPt>
          <c:dPt>
            <c:idx val="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A0D2-48F9-BAF6-A1DAE0B9AD16}"/>
              </c:ext>
            </c:extLst>
          </c:dPt>
          <c:dPt>
            <c:idx val="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A0D2-48F9-BAF6-A1DAE0B9AD16}"/>
              </c:ext>
            </c:extLst>
          </c:dPt>
          <c:dPt>
            <c:idx val="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A0D2-48F9-BAF6-A1DAE0B9AD16}"/>
              </c:ext>
            </c:extLst>
          </c:dPt>
          <c:dPt>
            <c:idx val="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A0D2-48F9-BAF6-A1DAE0B9AD16}"/>
              </c:ext>
            </c:extLst>
          </c:dPt>
          <c:dPt>
            <c:idx val="1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A0D2-48F9-BAF6-A1DAE0B9AD16}"/>
              </c:ext>
            </c:extLst>
          </c:dPt>
          <c:dPt>
            <c:idx val="1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A0D2-48F9-BAF6-A1DAE0B9AD16}"/>
              </c:ext>
            </c:extLst>
          </c:dPt>
          <c:dPt>
            <c:idx val="1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A0D2-48F9-BAF6-A1DAE0B9AD16}"/>
              </c:ext>
            </c:extLst>
          </c:dPt>
          <c:dPt>
            <c:idx val="1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A0D2-48F9-BAF6-A1DAE0B9AD16}"/>
              </c:ext>
            </c:extLst>
          </c:dPt>
          <c:dPt>
            <c:idx val="1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A0D2-48F9-BAF6-A1DAE0B9AD16}"/>
              </c:ext>
            </c:extLst>
          </c:dPt>
          <c:dPt>
            <c:idx val="1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A0D2-48F9-BAF6-A1DAE0B9AD16}"/>
              </c:ext>
            </c:extLst>
          </c:dPt>
          <c:dPt>
            <c:idx val="1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A0D2-48F9-BAF6-A1DAE0B9AD16}"/>
              </c:ext>
            </c:extLst>
          </c:dPt>
          <c:dPt>
            <c:idx val="1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A0D2-48F9-BAF6-A1DAE0B9AD16}"/>
              </c:ext>
            </c:extLst>
          </c:dPt>
          <c:dPt>
            <c:idx val="1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A0D2-48F9-BAF6-A1DAE0B9AD16}"/>
              </c:ext>
            </c:extLst>
          </c:dPt>
          <c:dPt>
            <c:idx val="1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A0D2-48F9-BAF6-A1DAE0B9AD16}"/>
              </c:ext>
            </c:extLst>
          </c:dPt>
          <c:dPt>
            <c:idx val="20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A0D2-48F9-BAF6-A1DAE0B9AD16}"/>
              </c:ext>
            </c:extLst>
          </c:dPt>
          <c:dPt>
            <c:idx val="21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A0D2-48F9-BAF6-A1DAE0B9AD16}"/>
              </c:ext>
            </c:extLst>
          </c:dPt>
          <c:dPt>
            <c:idx val="22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A0D2-48F9-BAF6-A1DAE0B9AD16}"/>
              </c:ext>
            </c:extLst>
          </c:dPt>
          <c:dPt>
            <c:idx val="23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A0D2-48F9-BAF6-A1DAE0B9AD16}"/>
              </c:ext>
            </c:extLst>
          </c:dPt>
          <c:dPt>
            <c:idx val="24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A0D2-48F9-BAF6-A1DAE0B9AD16}"/>
              </c:ext>
            </c:extLst>
          </c:dPt>
          <c:dPt>
            <c:idx val="25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A0D2-48F9-BAF6-A1DAE0B9AD16}"/>
              </c:ext>
            </c:extLst>
          </c:dPt>
          <c:dPt>
            <c:idx val="26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A0D2-48F9-BAF6-A1DAE0B9AD16}"/>
              </c:ext>
            </c:extLst>
          </c:dPt>
          <c:dPt>
            <c:idx val="27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A0D2-48F9-BAF6-A1DAE0B9AD16}"/>
              </c:ext>
            </c:extLst>
          </c:dPt>
          <c:dPt>
            <c:idx val="28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A0D2-48F9-BAF6-A1DAE0B9AD16}"/>
              </c:ext>
            </c:extLst>
          </c:dPt>
          <c:dPt>
            <c:idx val="29"/>
            <c:marker>
              <c:symbol val="triangl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A0D2-48F9-BAF6-A1DAE0B9AD16}"/>
              </c:ext>
            </c:extLst>
          </c:dPt>
          <c:dPt>
            <c:idx val="3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A0D2-48F9-BAF6-A1DAE0B9AD16}"/>
              </c:ext>
            </c:extLst>
          </c:dPt>
          <c:dPt>
            <c:idx val="3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A0D2-48F9-BAF6-A1DAE0B9AD16}"/>
              </c:ext>
            </c:extLst>
          </c:dPt>
          <c:dPt>
            <c:idx val="32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A0D2-48F9-BAF6-A1DAE0B9AD16}"/>
              </c:ext>
            </c:extLst>
          </c:dPt>
          <c:dPt>
            <c:idx val="33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A0D2-48F9-BAF6-A1DAE0B9AD16}"/>
              </c:ext>
            </c:extLst>
          </c:dPt>
          <c:dPt>
            <c:idx val="34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A0D2-48F9-BAF6-A1DAE0B9AD16}"/>
              </c:ext>
            </c:extLst>
          </c:dPt>
          <c:dPt>
            <c:idx val="35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A0D2-48F9-BAF6-A1DAE0B9AD16}"/>
              </c:ext>
            </c:extLst>
          </c:dPt>
          <c:dPt>
            <c:idx val="36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A0D2-48F9-BAF6-A1DAE0B9AD16}"/>
              </c:ext>
            </c:extLst>
          </c:dPt>
          <c:dPt>
            <c:idx val="37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A0D2-48F9-BAF6-A1DAE0B9AD16}"/>
              </c:ext>
            </c:extLst>
          </c:dPt>
          <c:dPt>
            <c:idx val="38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A0D2-48F9-BAF6-A1DAE0B9AD16}"/>
              </c:ext>
            </c:extLst>
          </c:dPt>
          <c:dPt>
            <c:idx val="39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A0D2-48F9-BAF6-A1DAE0B9AD16}"/>
              </c:ext>
            </c:extLst>
          </c:dPt>
          <c:dPt>
            <c:idx val="4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A0D2-48F9-BAF6-A1DAE0B9AD16}"/>
              </c:ext>
            </c:extLst>
          </c:dPt>
          <c:dPt>
            <c:idx val="4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A0D2-48F9-BAF6-A1DAE0B9AD16}"/>
              </c:ext>
            </c:extLst>
          </c:dPt>
          <c:dPt>
            <c:idx val="42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A0D2-48F9-BAF6-A1DAE0B9AD16}"/>
              </c:ext>
            </c:extLst>
          </c:dPt>
          <c:dPt>
            <c:idx val="43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A0D2-48F9-BAF6-A1DAE0B9AD16}"/>
              </c:ext>
            </c:extLst>
          </c:dPt>
          <c:dPt>
            <c:idx val="44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A0D2-48F9-BAF6-A1DAE0B9AD16}"/>
              </c:ext>
            </c:extLst>
          </c:dPt>
          <c:dPt>
            <c:idx val="45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A0D2-48F9-BAF6-A1DAE0B9AD16}"/>
              </c:ext>
            </c:extLst>
          </c:dPt>
          <c:dPt>
            <c:idx val="46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A0D2-48F9-BAF6-A1DAE0B9AD16}"/>
              </c:ext>
            </c:extLst>
          </c:dPt>
          <c:dPt>
            <c:idx val="47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A0D2-48F9-BAF6-A1DAE0B9AD16}"/>
              </c:ext>
            </c:extLst>
          </c:dPt>
          <c:dPt>
            <c:idx val="48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A0D2-48F9-BAF6-A1DAE0B9AD16}"/>
              </c:ext>
            </c:extLst>
          </c:dPt>
          <c:dPt>
            <c:idx val="49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A0D2-48F9-BAF6-A1DAE0B9AD16}"/>
              </c:ext>
            </c:extLst>
          </c:dPt>
          <c:dPt>
            <c:idx val="50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A0D2-48F9-BAF6-A1DAE0B9AD16}"/>
              </c:ext>
            </c:extLst>
          </c:dPt>
          <c:dPt>
            <c:idx val="51"/>
            <c:marker>
              <c:symbol val="square"/>
              <c:size val="5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A0D2-48F9-BAF6-A1DAE0B9AD16}"/>
              </c:ext>
            </c:extLst>
          </c:dPt>
          <c:dPt>
            <c:idx val="5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A0D2-48F9-BAF6-A1DAE0B9AD16}"/>
              </c:ext>
            </c:extLst>
          </c:dPt>
          <c:dPt>
            <c:idx val="5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A0D2-48F9-BAF6-A1DAE0B9AD16}"/>
              </c:ext>
            </c:extLst>
          </c:dPt>
          <c:dPt>
            <c:idx val="5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A0D2-48F9-BAF6-A1DAE0B9AD16}"/>
              </c:ext>
            </c:extLst>
          </c:dPt>
          <c:dPt>
            <c:idx val="5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A0D2-48F9-BAF6-A1DAE0B9AD16}"/>
              </c:ext>
            </c:extLst>
          </c:dPt>
          <c:dPt>
            <c:idx val="5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A0D2-48F9-BAF6-A1DAE0B9AD16}"/>
              </c:ext>
            </c:extLst>
          </c:dPt>
          <c:dPt>
            <c:idx val="5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A0D2-48F9-BAF6-A1DAE0B9AD16}"/>
              </c:ext>
            </c:extLst>
          </c:dPt>
          <c:dPt>
            <c:idx val="5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A0D2-48F9-BAF6-A1DAE0B9AD16}"/>
              </c:ext>
            </c:extLst>
          </c:dPt>
          <c:dPt>
            <c:idx val="5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A0D2-48F9-BAF6-A1DAE0B9AD16}"/>
              </c:ext>
            </c:extLst>
          </c:dPt>
          <c:dPt>
            <c:idx val="6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A0D2-48F9-BAF6-A1DAE0B9AD16}"/>
              </c:ext>
            </c:extLst>
          </c:dPt>
          <c:dPt>
            <c:idx val="6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A0D2-48F9-BAF6-A1DAE0B9AD16}"/>
              </c:ext>
            </c:extLst>
          </c:dPt>
          <c:dPt>
            <c:idx val="6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A0D2-48F9-BAF6-A1DAE0B9AD16}"/>
              </c:ext>
            </c:extLst>
          </c:dPt>
          <c:dPt>
            <c:idx val="6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A0D2-48F9-BAF6-A1DAE0B9AD16}"/>
              </c:ext>
            </c:extLst>
          </c:dPt>
          <c:dPt>
            <c:idx val="6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A0D2-48F9-BAF6-A1DAE0B9AD16}"/>
              </c:ext>
            </c:extLst>
          </c:dPt>
          <c:dPt>
            <c:idx val="6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A0D2-48F9-BAF6-A1DAE0B9AD16}"/>
              </c:ext>
            </c:extLst>
          </c:dPt>
          <c:dPt>
            <c:idx val="6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A0D2-48F9-BAF6-A1DAE0B9AD16}"/>
              </c:ext>
            </c:extLst>
          </c:dPt>
          <c:dPt>
            <c:idx val="6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A0D2-48F9-BAF6-A1DAE0B9AD16}"/>
              </c:ext>
            </c:extLst>
          </c:dPt>
          <c:dPt>
            <c:idx val="6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A0D2-48F9-BAF6-A1DAE0B9AD16}"/>
              </c:ext>
            </c:extLst>
          </c:dPt>
          <c:dPt>
            <c:idx val="6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A0D2-48F9-BAF6-A1DAE0B9AD16}"/>
              </c:ext>
            </c:extLst>
          </c:dPt>
          <c:dPt>
            <c:idx val="7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A0D2-48F9-BAF6-A1DAE0B9AD16}"/>
              </c:ext>
            </c:extLst>
          </c:dPt>
          <c:dPt>
            <c:idx val="7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A0D2-48F9-BAF6-A1DAE0B9AD16}"/>
              </c:ext>
            </c:extLst>
          </c:dPt>
          <c:dPt>
            <c:idx val="72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A0D2-48F9-BAF6-A1DAE0B9AD16}"/>
              </c:ext>
            </c:extLst>
          </c:dPt>
          <c:dPt>
            <c:idx val="73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A0D2-48F9-BAF6-A1DAE0B9AD16}"/>
              </c:ext>
            </c:extLst>
          </c:dPt>
          <c:dPt>
            <c:idx val="74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A0D2-48F9-BAF6-A1DAE0B9AD16}"/>
              </c:ext>
            </c:extLst>
          </c:dPt>
          <c:dPt>
            <c:idx val="75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A0D2-48F9-BAF6-A1DAE0B9AD16}"/>
              </c:ext>
            </c:extLst>
          </c:dPt>
          <c:dPt>
            <c:idx val="76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A0D2-48F9-BAF6-A1DAE0B9AD16}"/>
              </c:ext>
            </c:extLst>
          </c:dPt>
          <c:dPt>
            <c:idx val="77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A0D2-48F9-BAF6-A1DAE0B9AD16}"/>
              </c:ext>
            </c:extLst>
          </c:dPt>
          <c:dPt>
            <c:idx val="78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A0D2-48F9-BAF6-A1DAE0B9AD16}"/>
              </c:ext>
            </c:extLst>
          </c:dPt>
          <c:dPt>
            <c:idx val="79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A0D2-48F9-BAF6-A1DAE0B9AD16}"/>
              </c:ext>
            </c:extLst>
          </c:dPt>
          <c:dPt>
            <c:idx val="80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A0D2-48F9-BAF6-A1DAE0B9AD16}"/>
              </c:ext>
            </c:extLst>
          </c:dPt>
          <c:dPt>
            <c:idx val="81"/>
            <c:marker>
              <c:symbol val="circle"/>
              <c:size val="6"/>
              <c:spPr>
                <a:noFill/>
                <a:ln w="12700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9-A0D2-48F9-BAF6-A1DAE0B9AD16}"/>
              </c:ext>
            </c:extLst>
          </c:dPt>
          <c:trendline>
            <c:spPr>
              <a:ln w="19050" cap="rnd">
                <a:solidFill>
                  <a:srgbClr val="6600FF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1.1839228976304466E-2"/>
                  <c:y val="-3.3886380080337314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7030A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</c:trendlineLbl>
          </c:trendline>
          <c:xVal>
            <c:numRef>
              <c:f>'Expt 3 Results'!$J$4:$J$85</c:f>
              <c:numCache>
                <c:formatCode>#,##0</c:formatCode>
                <c:ptCount val="82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  <c:pt idx="30">
                  <c:v>99.2</c:v>
                </c:pt>
                <c:pt idx="31">
                  <c:v>106.5</c:v>
                </c:pt>
                <c:pt idx="32">
                  <c:v>207.3</c:v>
                </c:pt>
                <c:pt idx="33">
                  <c:v>641.4</c:v>
                </c:pt>
                <c:pt idx="34">
                  <c:v>267.10000000000002</c:v>
                </c:pt>
                <c:pt idx="35">
                  <c:v>388.6</c:v>
                </c:pt>
                <c:pt idx="36">
                  <c:v>510.2</c:v>
                </c:pt>
                <c:pt idx="37">
                  <c:v>465.8</c:v>
                </c:pt>
                <c:pt idx="38">
                  <c:v>493</c:v>
                </c:pt>
                <c:pt idx="39">
                  <c:v>574.5</c:v>
                </c:pt>
                <c:pt idx="40">
                  <c:v>563.1</c:v>
                </c:pt>
                <c:pt idx="41">
                  <c:v>704.1</c:v>
                </c:pt>
                <c:pt idx="42">
                  <c:v>871.4</c:v>
                </c:pt>
                <c:pt idx="43">
                  <c:v>1126.9000000000001</c:v>
                </c:pt>
                <c:pt idx="44">
                  <c:v>1718.7</c:v>
                </c:pt>
                <c:pt idx="45">
                  <c:v>126.4</c:v>
                </c:pt>
                <c:pt idx="46">
                  <c:v>1771.1</c:v>
                </c:pt>
                <c:pt idx="47">
                  <c:v>1925.3</c:v>
                </c:pt>
                <c:pt idx="48">
                  <c:v>2830.4</c:v>
                </c:pt>
                <c:pt idx="49">
                  <c:v>5378</c:v>
                </c:pt>
                <c:pt idx="50">
                  <c:v>5754.5</c:v>
                </c:pt>
                <c:pt idx="51">
                  <c:v>7276.1</c:v>
                </c:pt>
                <c:pt idx="52">
                  <c:v>228.5</c:v>
                </c:pt>
                <c:pt idx="53">
                  <c:v>992.9</c:v>
                </c:pt>
                <c:pt idx="54">
                  <c:v>1968.7</c:v>
                </c:pt>
                <c:pt idx="55">
                  <c:v>2075.4</c:v>
                </c:pt>
                <c:pt idx="56">
                  <c:v>4338.3</c:v>
                </c:pt>
                <c:pt idx="57">
                  <c:v>2391.4</c:v>
                </c:pt>
                <c:pt idx="58">
                  <c:v>10838.9</c:v>
                </c:pt>
                <c:pt idx="59">
                  <c:v>9626</c:v>
                </c:pt>
                <c:pt idx="60">
                  <c:v>10601.9</c:v>
                </c:pt>
                <c:pt idx="61">
                  <c:v>12459</c:v>
                </c:pt>
                <c:pt idx="62">
                  <c:v>18050.5</c:v>
                </c:pt>
                <c:pt idx="63">
                  <c:v>24336.5</c:v>
                </c:pt>
                <c:pt idx="64">
                  <c:v>35413.5</c:v>
                </c:pt>
                <c:pt idx="65">
                  <c:v>42439</c:v>
                </c:pt>
                <c:pt idx="66">
                  <c:v>59299.9</c:v>
                </c:pt>
                <c:pt idx="67">
                  <c:v>58657.1</c:v>
                </c:pt>
                <c:pt idx="68">
                  <c:v>193795.8</c:v>
                </c:pt>
                <c:pt idx="69">
                  <c:v>193617.8</c:v>
                </c:pt>
                <c:pt idx="70">
                  <c:v>241870.5</c:v>
                </c:pt>
                <c:pt idx="71">
                  <c:v>325052</c:v>
                </c:pt>
                <c:pt idx="72">
                  <c:v>332936.90000000002</c:v>
                </c:pt>
                <c:pt idx="73">
                  <c:v>447865.3</c:v>
                </c:pt>
                <c:pt idx="74">
                  <c:v>609479.9</c:v>
                </c:pt>
                <c:pt idx="75">
                  <c:v>758553.59999999998</c:v>
                </c:pt>
                <c:pt idx="76">
                  <c:v>1089047.5</c:v>
                </c:pt>
                <c:pt idx="77">
                  <c:v>1775871.3</c:v>
                </c:pt>
                <c:pt idx="78">
                  <c:v>2203638.7000000002</c:v>
                </c:pt>
                <c:pt idx="79">
                  <c:v>2918411.6</c:v>
                </c:pt>
                <c:pt idx="80">
                  <c:v>4672140</c:v>
                </c:pt>
                <c:pt idx="81">
                  <c:v>5904942.9000000004</c:v>
                </c:pt>
              </c:numCache>
            </c:numRef>
          </c:xVal>
          <c:yVal>
            <c:numRef>
              <c:f>'Expt 3 Results'!$K$4:$K$85</c:f>
              <c:numCache>
                <c:formatCode>General</c:formatCode>
                <c:ptCount val="82"/>
                <c:pt idx="0">
                  <c:v>0.14000000000000001</c:v>
                </c:pt>
                <c:pt idx="1">
                  <c:v>0.34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0.17</c:v>
                </c:pt>
                <c:pt idx="5">
                  <c:v>0.16</c:v>
                </c:pt>
                <c:pt idx="6">
                  <c:v>0.16</c:v>
                </c:pt>
                <c:pt idx="7">
                  <c:v>0.2</c:v>
                </c:pt>
                <c:pt idx="8">
                  <c:v>0.24</c:v>
                </c:pt>
                <c:pt idx="9">
                  <c:v>0.3</c:v>
                </c:pt>
                <c:pt idx="10">
                  <c:v>0.21</c:v>
                </c:pt>
                <c:pt idx="11">
                  <c:v>0.24</c:v>
                </c:pt>
                <c:pt idx="12">
                  <c:v>0.26</c:v>
                </c:pt>
                <c:pt idx="13">
                  <c:v>0.24</c:v>
                </c:pt>
                <c:pt idx="14">
                  <c:v>0.2</c:v>
                </c:pt>
                <c:pt idx="15">
                  <c:v>0.21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0.36</c:v>
                </c:pt>
                <c:pt idx="19">
                  <c:v>0.31</c:v>
                </c:pt>
                <c:pt idx="20">
                  <c:v>0.32</c:v>
                </c:pt>
                <c:pt idx="21">
                  <c:v>0.43</c:v>
                </c:pt>
                <c:pt idx="22">
                  <c:v>0.53</c:v>
                </c:pt>
                <c:pt idx="23">
                  <c:v>0.51</c:v>
                </c:pt>
                <c:pt idx="24">
                  <c:v>0.57999999999999996</c:v>
                </c:pt>
                <c:pt idx="25">
                  <c:v>0.71</c:v>
                </c:pt>
                <c:pt idx="26">
                  <c:v>0.71</c:v>
                </c:pt>
                <c:pt idx="27">
                  <c:v>0.63</c:v>
                </c:pt>
                <c:pt idx="28">
                  <c:v>0.88</c:v>
                </c:pt>
                <c:pt idx="29">
                  <c:v>0.97</c:v>
                </c:pt>
                <c:pt idx="30">
                  <c:v>0.16</c:v>
                </c:pt>
                <c:pt idx="31">
                  <c:v>0.19</c:v>
                </c:pt>
                <c:pt idx="32">
                  <c:v>0.19</c:v>
                </c:pt>
                <c:pt idx="33">
                  <c:v>0.28999999999999998</c:v>
                </c:pt>
                <c:pt idx="34">
                  <c:v>0.22</c:v>
                </c:pt>
                <c:pt idx="35">
                  <c:v>0.21</c:v>
                </c:pt>
                <c:pt idx="36">
                  <c:v>0.21</c:v>
                </c:pt>
                <c:pt idx="37">
                  <c:v>0.21</c:v>
                </c:pt>
                <c:pt idx="38">
                  <c:v>0.2</c:v>
                </c:pt>
                <c:pt idx="39">
                  <c:v>0.21</c:v>
                </c:pt>
                <c:pt idx="40">
                  <c:v>0.22</c:v>
                </c:pt>
                <c:pt idx="41">
                  <c:v>0.24</c:v>
                </c:pt>
                <c:pt idx="42">
                  <c:v>0.25</c:v>
                </c:pt>
                <c:pt idx="43">
                  <c:v>0.22</c:v>
                </c:pt>
                <c:pt idx="44">
                  <c:v>0.26</c:v>
                </c:pt>
                <c:pt idx="45">
                  <c:v>0.18</c:v>
                </c:pt>
                <c:pt idx="46">
                  <c:v>0.28999999999999998</c:v>
                </c:pt>
                <c:pt idx="47">
                  <c:v>0.33</c:v>
                </c:pt>
                <c:pt idx="48">
                  <c:v>0.42</c:v>
                </c:pt>
                <c:pt idx="49">
                  <c:v>0.32</c:v>
                </c:pt>
                <c:pt idx="50">
                  <c:v>0.32</c:v>
                </c:pt>
                <c:pt idx="51">
                  <c:v>0.44</c:v>
                </c:pt>
                <c:pt idx="52">
                  <c:v>0.15</c:v>
                </c:pt>
                <c:pt idx="53">
                  <c:v>0.26</c:v>
                </c:pt>
                <c:pt idx="54">
                  <c:v>0.33</c:v>
                </c:pt>
                <c:pt idx="55">
                  <c:v>0.33</c:v>
                </c:pt>
                <c:pt idx="56">
                  <c:v>0.28000000000000003</c:v>
                </c:pt>
                <c:pt idx="57">
                  <c:v>0.26</c:v>
                </c:pt>
                <c:pt idx="58">
                  <c:v>0.35</c:v>
                </c:pt>
                <c:pt idx="59">
                  <c:v>0.36</c:v>
                </c:pt>
                <c:pt idx="60">
                  <c:v>0.3</c:v>
                </c:pt>
                <c:pt idx="61">
                  <c:v>0.42</c:v>
                </c:pt>
                <c:pt idx="62">
                  <c:v>0.4</c:v>
                </c:pt>
                <c:pt idx="63">
                  <c:v>0.56000000000000005</c:v>
                </c:pt>
                <c:pt idx="64">
                  <c:v>0.54</c:v>
                </c:pt>
                <c:pt idx="65">
                  <c:v>0.61</c:v>
                </c:pt>
                <c:pt idx="66">
                  <c:v>0.7</c:v>
                </c:pt>
                <c:pt idx="67">
                  <c:v>0.56000000000000005</c:v>
                </c:pt>
                <c:pt idx="68">
                  <c:v>0.87</c:v>
                </c:pt>
                <c:pt idx="69">
                  <c:v>1</c:v>
                </c:pt>
                <c:pt idx="70">
                  <c:v>1.1200000000000001</c:v>
                </c:pt>
                <c:pt idx="71">
                  <c:v>1.55</c:v>
                </c:pt>
                <c:pt idx="72">
                  <c:v>1.25</c:v>
                </c:pt>
                <c:pt idx="73">
                  <c:v>1.95</c:v>
                </c:pt>
                <c:pt idx="74">
                  <c:v>2.4500000000000002</c:v>
                </c:pt>
                <c:pt idx="75">
                  <c:v>4.49</c:v>
                </c:pt>
                <c:pt idx="76">
                  <c:v>3.95</c:v>
                </c:pt>
                <c:pt idx="77">
                  <c:v>4.57</c:v>
                </c:pt>
                <c:pt idx="78">
                  <c:v>6.29</c:v>
                </c:pt>
                <c:pt idx="79">
                  <c:v>6.67</c:v>
                </c:pt>
                <c:pt idx="80">
                  <c:v>10.119999999999999</c:v>
                </c:pt>
                <c:pt idx="81">
                  <c:v>12.12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A0D2-48F9-BAF6-A1DAE0B9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061759"/>
        <c:axId val="615415983"/>
      </c:scatterChart>
      <c:valAx>
        <c:axId val="61206175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 b="0"/>
                  <a:t>Basin area, km²</a:t>
                </a:r>
              </a:p>
            </c:rich>
          </c:tx>
          <c:layout>
            <c:manualLayout>
              <c:xMode val="edge"/>
              <c:yMode val="edge"/>
              <c:x val="0.36119763200341531"/>
              <c:y val="0.92056383835831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415983"/>
        <c:crossesAt val="1.0000000000000002E-3"/>
        <c:crossBetween val="midCat"/>
      </c:valAx>
      <c:valAx>
        <c:axId val="615415983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Delineation time (seconds)</a:t>
                </a:r>
              </a:p>
            </c:rich>
          </c:tx>
          <c:layout>
            <c:manualLayout>
              <c:xMode val="edge"/>
              <c:yMode val="edge"/>
              <c:x val="1.8819464270301494E-2"/>
              <c:y val="0.14698632707432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2061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7564751916262092"/>
          <c:y val="5.6507528775967805E-2"/>
          <c:w val="0.20932553501208476"/>
          <c:h val="0.2103075440072204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" l="0" r="0" t="0" header="0" footer="0"/>
    <c:pageSetup paperSize="11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19360782434313"/>
          <c:y val="7.4559154758176011E-2"/>
          <c:w val="0.77117115440390716"/>
          <c:h val="0.6270735536744918"/>
        </c:manualLayout>
      </c:layout>
      <c:scatterChart>
        <c:scatterStyle val="lineMarker"/>
        <c:varyColors val="0"/>
        <c:ser>
          <c:idx val="0"/>
          <c:order val="0"/>
          <c:tx>
            <c:v>Amazon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6600FF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4F5-47CF-B752-B60A62806494}"/>
              </c:ext>
            </c:extLst>
          </c:dPt>
          <c:dPt>
            <c:idx val="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4F5-47CF-B752-B60A62806494}"/>
              </c:ext>
            </c:extLst>
          </c:dPt>
          <c:dPt>
            <c:idx val="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4F5-47CF-B752-B60A62806494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4F5-47CF-B752-B60A62806494}"/>
              </c:ext>
            </c:extLst>
          </c:dPt>
          <c:dPt>
            <c:idx val="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4F5-47CF-B752-B60A62806494}"/>
              </c:ext>
            </c:extLst>
          </c:dPt>
          <c:dPt>
            <c:idx val="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4F5-47CF-B752-B60A62806494}"/>
              </c:ext>
            </c:extLst>
          </c:dPt>
          <c:dPt>
            <c:idx val="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4F5-47CF-B752-B60A62806494}"/>
              </c:ext>
            </c:extLst>
          </c:dPt>
          <c:dPt>
            <c:idx val="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4F5-47CF-B752-B60A62806494}"/>
              </c:ext>
            </c:extLst>
          </c:dPt>
          <c:dPt>
            <c:idx val="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4F5-47CF-B752-B60A62806494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4F5-47CF-B752-B60A62806494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4F5-47CF-B752-B60A62806494}"/>
              </c:ext>
            </c:extLst>
          </c:dPt>
          <c:dPt>
            <c:idx val="1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4F5-47CF-B752-B60A62806494}"/>
              </c:ext>
            </c:extLst>
          </c:dPt>
          <c:dPt>
            <c:idx val="1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4F5-47CF-B752-B60A62806494}"/>
              </c:ext>
            </c:extLst>
          </c:dPt>
          <c:dPt>
            <c:idx val="1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4F5-47CF-B752-B60A62806494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4F5-47CF-B752-B60A62806494}"/>
              </c:ext>
            </c:extLst>
          </c:dPt>
          <c:dPt>
            <c:idx val="1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4F5-47CF-B752-B60A62806494}"/>
              </c:ext>
            </c:extLst>
          </c:dPt>
          <c:dPt>
            <c:idx val="1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4F5-47CF-B752-B60A62806494}"/>
              </c:ext>
            </c:extLst>
          </c:dPt>
          <c:dPt>
            <c:idx val="1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4F5-47CF-B752-B60A62806494}"/>
              </c:ext>
            </c:extLst>
          </c:dPt>
          <c:dPt>
            <c:idx val="1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4F5-47CF-B752-B60A62806494}"/>
              </c:ext>
            </c:extLst>
          </c:dPt>
          <c:dPt>
            <c:idx val="1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4F5-47CF-B752-B60A62806494}"/>
              </c:ext>
            </c:extLst>
          </c:dPt>
          <c:dPt>
            <c:idx val="2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4F5-47CF-B752-B60A62806494}"/>
              </c:ext>
            </c:extLst>
          </c:dPt>
          <c:dPt>
            <c:idx val="2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4F5-47CF-B752-B60A62806494}"/>
              </c:ext>
            </c:extLst>
          </c:dPt>
          <c:dPt>
            <c:idx val="2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4F5-47CF-B752-B60A62806494}"/>
              </c:ext>
            </c:extLst>
          </c:dPt>
          <c:dPt>
            <c:idx val="2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4F5-47CF-B752-B60A62806494}"/>
              </c:ext>
            </c:extLst>
          </c:dPt>
          <c:dPt>
            <c:idx val="2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4F5-47CF-B752-B60A62806494}"/>
              </c:ext>
            </c:extLst>
          </c:dPt>
          <c:dPt>
            <c:idx val="2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4F5-47CF-B752-B60A62806494}"/>
              </c:ext>
            </c:extLst>
          </c:dPt>
          <c:dPt>
            <c:idx val="2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4F5-47CF-B752-B60A62806494}"/>
              </c:ext>
            </c:extLst>
          </c:dPt>
          <c:dPt>
            <c:idx val="2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4F5-47CF-B752-B60A62806494}"/>
              </c:ext>
            </c:extLst>
          </c:dPt>
          <c:dPt>
            <c:idx val="2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4F5-47CF-B752-B60A62806494}"/>
              </c:ext>
            </c:extLst>
          </c:dPt>
          <c:dPt>
            <c:idx val="2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4F5-47CF-B752-B60A62806494}"/>
              </c:ext>
            </c:extLst>
          </c:dPt>
          <c:dPt>
            <c:idx val="3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4F5-47CF-B752-B60A62806494}"/>
              </c:ext>
            </c:extLst>
          </c:dPt>
          <c:dPt>
            <c:idx val="3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4F5-47CF-B752-B60A62806494}"/>
              </c:ext>
            </c:extLst>
          </c:dPt>
          <c:dPt>
            <c:idx val="3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4F5-47CF-B752-B60A62806494}"/>
              </c:ext>
            </c:extLst>
          </c:dPt>
          <c:dPt>
            <c:idx val="3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4F5-47CF-B752-B60A62806494}"/>
              </c:ext>
            </c:extLst>
          </c:dPt>
          <c:dPt>
            <c:idx val="3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4F5-47CF-B752-B60A62806494}"/>
              </c:ext>
            </c:extLst>
          </c:dPt>
          <c:dPt>
            <c:idx val="3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4F5-47CF-B752-B60A62806494}"/>
              </c:ext>
            </c:extLst>
          </c:dPt>
          <c:dPt>
            <c:idx val="3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4F5-47CF-B752-B60A62806494}"/>
              </c:ext>
            </c:extLst>
          </c:dPt>
          <c:dPt>
            <c:idx val="3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4F5-47CF-B752-B60A62806494}"/>
              </c:ext>
            </c:extLst>
          </c:dPt>
          <c:dPt>
            <c:idx val="3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4F5-47CF-B752-B60A62806494}"/>
              </c:ext>
            </c:extLst>
          </c:dPt>
          <c:dPt>
            <c:idx val="3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4F5-47CF-B752-B60A62806494}"/>
              </c:ext>
            </c:extLst>
          </c:dPt>
          <c:dPt>
            <c:idx val="4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4F5-47CF-B752-B60A62806494}"/>
              </c:ext>
            </c:extLst>
          </c:dPt>
          <c:dPt>
            <c:idx val="4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4F5-47CF-B752-B60A62806494}"/>
              </c:ext>
            </c:extLst>
          </c:dPt>
          <c:dPt>
            <c:idx val="4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4F5-47CF-B752-B60A62806494}"/>
              </c:ext>
            </c:extLst>
          </c:dPt>
          <c:dPt>
            <c:idx val="4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4F5-47CF-B752-B60A62806494}"/>
              </c:ext>
            </c:extLst>
          </c:dPt>
          <c:dPt>
            <c:idx val="4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4F5-47CF-B752-B60A62806494}"/>
              </c:ext>
            </c:extLst>
          </c:dPt>
          <c:dPt>
            <c:idx val="4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4F5-47CF-B752-B60A62806494}"/>
              </c:ext>
            </c:extLst>
          </c:dPt>
          <c:dPt>
            <c:idx val="4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4F5-47CF-B752-B60A62806494}"/>
              </c:ext>
            </c:extLst>
          </c:dPt>
          <c:dPt>
            <c:idx val="4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4F5-47CF-B752-B60A62806494}"/>
              </c:ext>
            </c:extLst>
          </c:dPt>
          <c:dPt>
            <c:idx val="4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4F5-47CF-B752-B60A62806494}"/>
              </c:ext>
            </c:extLst>
          </c:dPt>
          <c:dPt>
            <c:idx val="4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4F5-47CF-B752-B60A62806494}"/>
              </c:ext>
            </c:extLst>
          </c:dPt>
          <c:dPt>
            <c:idx val="5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4F5-47CF-B752-B60A62806494}"/>
              </c:ext>
            </c:extLst>
          </c:dPt>
          <c:dPt>
            <c:idx val="5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4F5-47CF-B752-B60A62806494}"/>
              </c:ext>
            </c:extLst>
          </c:dPt>
          <c:dPt>
            <c:idx val="5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4F5-47CF-B752-B60A62806494}"/>
              </c:ext>
            </c:extLst>
          </c:dPt>
          <c:dPt>
            <c:idx val="5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4F5-47CF-B752-B60A62806494}"/>
              </c:ext>
            </c:extLst>
          </c:dPt>
          <c:dPt>
            <c:idx val="5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4F5-47CF-B752-B60A62806494}"/>
              </c:ext>
            </c:extLst>
          </c:dPt>
          <c:dPt>
            <c:idx val="5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4F5-47CF-B752-B60A62806494}"/>
              </c:ext>
            </c:extLst>
          </c:dPt>
          <c:dPt>
            <c:idx val="5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4F5-47CF-B752-B60A62806494}"/>
              </c:ext>
            </c:extLst>
          </c:dPt>
          <c:dPt>
            <c:idx val="5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4F5-47CF-B752-B60A62806494}"/>
              </c:ext>
            </c:extLst>
          </c:dPt>
          <c:dPt>
            <c:idx val="5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4F5-47CF-B752-B60A62806494}"/>
              </c:ext>
            </c:extLst>
          </c:dPt>
          <c:dPt>
            <c:idx val="5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4F5-47CF-B752-B60A62806494}"/>
              </c:ext>
            </c:extLst>
          </c:dPt>
          <c:dPt>
            <c:idx val="6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4F5-47CF-B752-B60A62806494}"/>
              </c:ext>
            </c:extLst>
          </c:dPt>
          <c:dPt>
            <c:idx val="6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4F5-47CF-B752-B60A62806494}"/>
              </c:ext>
            </c:extLst>
          </c:dPt>
          <c:dPt>
            <c:idx val="6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4F5-47CF-B752-B60A62806494}"/>
              </c:ext>
            </c:extLst>
          </c:dPt>
          <c:dPt>
            <c:idx val="6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4F5-47CF-B752-B60A62806494}"/>
              </c:ext>
            </c:extLst>
          </c:dPt>
          <c:dPt>
            <c:idx val="6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4F5-47CF-B752-B60A62806494}"/>
              </c:ext>
            </c:extLst>
          </c:dPt>
          <c:dPt>
            <c:idx val="6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4F5-47CF-B752-B60A62806494}"/>
              </c:ext>
            </c:extLst>
          </c:dPt>
          <c:dPt>
            <c:idx val="6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4F5-47CF-B752-B60A62806494}"/>
              </c:ext>
            </c:extLst>
          </c:dPt>
          <c:dPt>
            <c:idx val="6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4F5-47CF-B752-B60A62806494}"/>
              </c:ext>
            </c:extLst>
          </c:dPt>
          <c:dPt>
            <c:idx val="6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4F5-47CF-B752-B60A62806494}"/>
              </c:ext>
            </c:extLst>
          </c:dPt>
          <c:dPt>
            <c:idx val="6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4F5-47CF-B752-B60A62806494}"/>
              </c:ext>
            </c:extLst>
          </c:dPt>
          <c:dPt>
            <c:idx val="7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4F5-47CF-B752-B60A62806494}"/>
              </c:ext>
            </c:extLst>
          </c:dPt>
          <c:dPt>
            <c:idx val="7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4F5-47CF-B752-B60A62806494}"/>
              </c:ext>
            </c:extLst>
          </c:dPt>
          <c:dPt>
            <c:idx val="72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4F5-47CF-B752-B60A62806494}"/>
              </c:ext>
            </c:extLst>
          </c:dPt>
          <c:dPt>
            <c:idx val="73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4F5-47CF-B752-B60A62806494}"/>
              </c:ext>
            </c:extLst>
          </c:dPt>
          <c:dPt>
            <c:idx val="74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4F5-47CF-B752-B60A62806494}"/>
              </c:ext>
            </c:extLst>
          </c:dPt>
          <c:dPt>
            <c:idx val="75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4F5-47CF-B752-B60A62806494}"/>
              </c:ext>
            </c:extLst>
          </c:dPt>
          <c:dPt>
            <c:idx val="76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4F5-47CF-B752-B60A62806494}"/>
              </c:ext>
            </c:extLst>
          </c:dPt>
          <c:dPt>
            <c:idx val="77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4F5-47CF-B752-B60A62806494}"/>
              </c:ext>
            </c:extLst>
          </c:dPt>
          <c:dPt>
            <c:idx val="78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4F5-47CF-B752-B60A62806494}"/>
              </c:ext>
            </c:extLst>
          </c:dPt>
          <c:dPt>
            <c:idx val="79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4F5-47CF-B752-B60A62806494}"/>
              </c:ext>
            </c:extLst>
          </c:dPt>
          <c:dPt>
            <c:idx val="80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54F5-47CF-B752-B60A62806494}"/>
              </c:ext>
            </c:extLst>
          </c:dPt>
          <c:dPt>
            <c:idx val="81"/>
            <c:marker>
              <c:symbol val="circle"/>
              <c:size val="5"/>
              <c:spPr>
                <a:noFill/>
                <a:ln w="9525">
                  <a:solidFill>
                    <a:srgbClr val="66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9-54F5-47CF-B752-B60A62806494}"/>
              </c:ext>
            </c:extLst>
          </c:dPt>
          <c:trendline>
            <c:spPr>
              <a:ln w="19050" cap="rnd">
                <a:solidFill>
                  <a:srgbClr val="6600FF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13870795720719711"/>
                  <c:y val="3.5298229657426086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600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Results'!$J$56:$J$85</c:f>
              <c:numCache>
                <c:formatCode>#,##0</c:formatCode>
                <c:ptCount val="30"/>
                <c:pt idx="0">
                  <c:v>228.5</c:v>
                </c:pt>
                <c:pt idx="1">
                  <c:v>992.9</c:v>
                </c:pt>
                <c:pt idx="2">
                  <c:v>1968.7</c:v>
                </c:pt>
                <c:pt idx="3">
                  <c:v>2075.4</c:v>
                </c:pt>
                <c:pt idx="4">
                  <c:v>4338.3</c:v>
                </c:pt>
                <c:pt idx="5">
                  <c:v>2391.4</c:v>
                </c:pt>
                <c:pt idx="6">
                  <c:v>10838.9</c:v>
                </c:pt>
                <c:pt idx="7">
                  <c:v>9626</c:v>
                </c:pt>
                <c:pt idx="8">
                  <c:v>10601.9</c:v>
                </c:pt>
                <c:pt idx="9">
                  <c:v>12459</c:v>
                </c:pt>
                <c:pt idx="10">
                  <c:v>18050.5</c:v>
                </c:pt>
                <c:pt idx="11">
                  <c:v>24336.5</c:v>
                </c:pt>
                <c:pt idx="12">
                  <c:v>35413.5</c:v>
                </c:pt>
                <c:pt idx="13">
                  <c:v>42439</c:v>
                </c:pt>
                <c:pt idx="14">
                  <c:v>59299.9</c:v>
                </c:pt>
                <c:pt idx="15">
                  <c:v>58657.1</c:v>
                </c:pt>
                <c:pt idx="16">
                  <c:v>193795.8</c:v>
                </c:pt>
                <c:pt idx="17">
                  <c:v>193617.8</c:v>
                </c:pt>
                <c:pt idx="18">
                  <c:v>241870.5</c:v>
                </c:pt>
                <c:pt idx="19">
                  <c:v>325052</c:v>
                </c:pt>
                <c:pt idx="20">
                  <c:v>332936.90000000002</c:v>
                </c:pt>
                <c:pt idx="21">
                  <c:v>447865.3</c:v>
                </c:pt>
                <c:pt idx="22">
                  <c:v>609479.9</c:v>
                </c:pt>
                <c:pt idx="23">
                  <c:v>758553.59999999998</c:v>
                </c:pt>
                <c:pt idx="24">
                  <c:v>1089047.5</c:v>
                </c:pt>
                <c:pt idx="25">
                  <c:v>1775871.3</c:v>
                </c:pt>
                <c:pt idx="26">
                  <c:v>2203638.7000000002</c:v>
                </c:pt>
                <c:pt idx="27">
                  <c:v>2918411.6</c:v>
                </c:pt>
                <c:pt idx="28">
                  <c:v>4672140</c:v>
                </c:pt>
                <c:pt idx="29">
                  <c:v>5904942.9000000004</c:v>
                </c:pt>
              </c:numCache>
            </c:numRef>
          </c:xVal>
          <c:yVal>
            <c:numRef>
              <c:f>'Expt 3 Results'!$K$56:$K$85</c:f>
              <c:numCache>
                <c:formatCode>General</c:formatCode>
                <c:ptCount val="30"/>
                <c:pt idx="0">
                  <c:v>0.15</c:v>
                </c:pt>
                <c:pt idx="1">
                  <c:v>0.26</c:v>
                </c:pt>
                <c:pt idx="2">
                  <c:v>0.33</c:v>
                </c:pt>
                <c:pt idx="3">
                  <c:v>0.33</c:v>
                </c:pt>
                <c:pt idx="4">
                  <c:v>0.28000000000000003</c:v>
                </c:pt>
                <c:pt idx="5">
                  <c:v>0.26</c:v>
                </c:pt>
                <c:pt idx="6">
                  <c:v>0.35</c:v>
                </c:pt>
                <c:pt idx="7">
                  <c:v>0.36</c:v>
                </c:pt>
                <c:pt idx="8">
                  <c:v>0.3</c:v>
                </c:pt>
                <c:pt idx="9">
                  <c:v>0.42</c:v>
                </c:pt>
                <c:pt idx="10">
                  <c:v>0.4</c:v>
                </c:pt>
                <c:pt idx="11">
                  <c:v>0.56000000000000005</c:v>
                </c:pt>
                <c:pt idx="12">
                  <c:v>0.54</c:v>
                </c:pt>
                <c:pt idx="13">
                  <c:v>0.61</c:v>
                </c:pt>
                <c:pt idx="14">
                  <c:v>0.7</c:v>
                </c:pt>
                <c:pt idx="15">
                  <c:v>0.56000000000000005</c:v>
                </c:pt>
                <c:pt idx="16">
                  <c:v>0.87</c:v>
                </c:pt>
                <c:pt idx="17">
                  <c:v>1</c:v>
                </c:pt>
                <c:pt idx="18">
                  <c:v>1.1200000000000001</c:v>
                </c:pt>
                <c:pt idx="19">
                  <c:v>1.55</c:v>
                </c:pt>
                <c:pt idx="20">
                  <c:v>1.25</c:v>
                </c:pt>
                <c:pt idx="21">
                  <c:v>1.95</c:v>
                </c:pt>
                <c:pt idx="22">
                  <c:v>2.4500000000000002</c:v>
                </c:pt>
                <c:pt idx="23">
                  <c:v>4.49</c:v>
                </c:pt>
                <c:pt idx="24">
                  <c:v>3.95</c:v>
                </c:pt>
                <c:pt idx="25">
                  <c:v>4.57</c:v>
                </c:pt>
                <c:pt idx="26">
                  <c:v>6.29</c:v>
                </c:pt>
                <c:pt idx="27">
                  <c:v>6.67</c:v>
                </c:pt>
                <c:pt idx="28">
                  <c:v>10.119999999999999</c:v>
                </c:pt>
                <c:pt idx="29">
                  <c:v>12.12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54F5-47CF-B752-B60A62806494}"/>
            </c:ext>
          </c:extLst>
        </c:ser>
        <c:ser>
          <c:idx val="3"/>
          <c:order val="1"/>
          <c:tx>
            <c:v>W. Europe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4F5-47CF-B752-B60A62806494}"/>
              </c:ext>
            </c:extLst>
          </c:dPt>
          <c:dPt>
            <c:idx val="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F5-47CF-B752-B60A62806494}"/>
              </c:ext>
            </c:extLst>
          </c:dPt>
          <c:dPt>
            <c:idx val="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4F5-47CF-B752-B60A62806494}"/>
              </c:ext>
            </c:extLst>
          </c:dPt>
          <c:dPt>
            <c:idx val="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4F5-47CF-B752-B60A62806494}"/>
              </c:ext>
            </c:extLst>
          </c:dPt>
          <c:dPt>
            <c:idx val="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4F5-47CF-B752-B60A62806494}"/>
              </c:ext>
            </c:extLst>
          </c:dPt>
          <c:dPt>
            <c:idx val="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4F5-47CF-B752-B60A62806494}"/>
              </c:ext>
            </c:extLst>
          </c:dPt>
          <c:dPt>
            <c:idx val="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4F5-47CF-B752-B60A62806494}"/>
              </c:ext>
            </c:extLst>
          </c:dPt>
          <c:dPt>
            <c:idx val="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4F5-47CF-B752-B60A62806494}"/>
              </c:ext>
            </c:extLst>
          </c:dPt>
          <c:dPt>
            <c:idx val="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4F5-47CF-B752-B60A62806494}"/>
              </c:ext>
            </c:extLst>
          </c:dPt>
          <c:dPt>
            <c:idx val="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4F5-47CF-B752-B60A62806494}"/>
              </c:ext>
            </c:extLst>
          </c:dPt>
          <c:dPt>
            <c:idx val="1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4F5-47CF-B752-B60A62806494}"/>
              </c:ext>
            </c:extLst>
          </c:dPt>
          <c:dPt>
            <c:idx val="1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4F5-47CF-B752-B60A62806494}"/>
              </c:ext>
            </c:extLst>
          </c:dPt>
          <c:dPt>
            <c:idx val="1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4F5-47CF-B752-B60A62806494}"/>
              </c:ext>
            </c:extLst>
          </c:dPt>
          <c:dPt>
            <c:idx val="1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4F5-47CF-B752-B60A62806494}"/>
              </c:ext>
            </c:extLst>
          </c:dPt>
          <c:dPt>
            <c:idx val="1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4F5-47CF-B752-B60A62806494}"/>
              </c:ext>
            </c:extLst>
          </c:dPt>
          <c:dPt>
            <c:idx val="1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4F5-47CF-B752-B60A62806494}"/>
              </c:ext>
            </c:extLst>
          </c:dPt>
          <c:dPt>
            <c:idx val="1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4F5-47CF-B752-B60A62806494}"/>
              </c:ext>
            </c:extLst>
          </c:dPt>
          <c:dPt>
            <c:idx val="1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4F5-47CF-B752-B60A62806494}"/>
              </c:ext>
            </c:extLst>
          </c:dPt>
          <c:dPt>
            <c:idx val="1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4F5-47CF-B752-B60A62806494}"/>
              </c:ext>
            </c:extLst>
          </c:dPt>
          <c:dPt>
            <c:idx val="1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4F5-47CF-B752-B60A62806494}"/>
              </c:ext>
            </c:extLst>
          </c:dPt>
          <c:dPt>
            <c:idx val="2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4F5-47CF-B752-B60A62806494}"/>
              </c:ext>
            </c:extLst>
          </c:dPt>
          <c:dPt>
            <c:idx val="2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4F5-47CF-B752-B60A62806494}"/>
              </c:ext>
            </c:extLst>
          </c:dPt>
          <c:dPt>
            <c:idx val="2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4F5-47CF-B752-B60A62806494}"/>
              </c:ext>
            </c:extLst>
          </c:dPt>
          <c:dPt>
            <c:idx val="2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4F5-47CF-B752-B60A62806494}"/>
              </c:ext>
            </c:extLst>
          </c:dPt>
          <c:dPt>
            <c:idx val="2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4F5-47CF-B752-B60A62806494}"/>
              </c:ext>
            </c:extLst>
          </c:dPt>
          <c:dPt>
            <c:idx val="2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4F5-47CF-B752-B60A62806494}"/>
              </c:ext>
            </c:extLst>
          </c:dPt>
          <c:dPt>
            <c:idx val="2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4F5-47CF-B752-B60A62806494}"/>
              </c:ext>
            </c:extLst>
          </c:dPt>
          <c:dPt>
            <c:idx val="2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4F5-47CF-B752-B60A62806494}"/>
              </c:ext>
            </c:extLst>
          </c:dPt>
          <c:dPt>
            <c:idx val="2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4F5-47CF-B752-B60A62806494}"/>
              </c:ext>
            </c:extLst>
          </c:dPt>
          <c:dPt>
            <c:idx val="2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4F5-47CF-B752-B60A62806494}"/>
              </c:ext>
            </c:extLst>
          </c:dPt>
          <c:dPt>
            <c:idx val="3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4F5-47CF-B752-B60A62806494}"/>
              </c:ext>
            </c:extLst>
          </c:dPt>
          <c:dPt>
            <c:idx val="3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4F5-47CF-B752-B60A62806494}"/>
              </c:ext>
            </c:extLst>
          </c:dPt>
          <c:dPt>
            <c:idx val="3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4F5-47CF-B752-B60A62806494}"/>
              </c:ext>
            </c:extLst>
          </c:dPt>
          <c:dPt>
            <c:idx val="3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4F5-47CF-B752-B60A62806494}"/>
              </c:ext>
            </c:extLst>
          </c:dPt>
          <c:dPt>
            <c:idx val="3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4F5-47CF-B752-B60A62806494}"/>
              </c:ext>
            </c:extLst>
          </c:dPt>
          <c:dPt>
            <c:idx val="3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4F5-47CF-B752-B60A62806494}"/>
              </c:ext>
            </c:extLst>
          </c:dPt>
          <c:dPt>
            <c:idx val="3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4F5-47CF-B752-B60A62806494}"/>
              </c:ext>
            </c:extLst>
          </c:dPt>
          <c:dPt>
            <c:idx val="3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4F5-47CF-B752-B60A62806494}"/>
              </c:ext>
            </c:extLst>
          </c:dPt>
          <c:dPt>
            <c:idx val="3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4F5-47CF-B752-B60A62806494}"/>
              </c:ext>
            </c:extLst>
          </c:dPt>
          <c:dPt>
            <c:idx val="3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4F5-47CF-B752-B60A62806494}"/>
              </c:ext>
            </c:extLst>
          </c:dPt>
          <c:dPt>
            <c:idx val="4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4F5-47CF-B752-B60A62806494}"/>
              </c:ext>
            </c:extLst>
          </c:dPt>
          <c:dPt>
            <c:idx val="4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4F5-47CF-B752-B60A62806494}"/>
              </c:ext>
            </c:extLst>
          </c:dPt>
          <c:dPt>
            <c:idx val="4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4F5-47CF-B752-B60A62806494}"/>
              </c:ext>
            </c:extLst>
          </c:dPt>
          <c:dPt>
            <c:idx val="4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4F5-47CF-B752-B60A62806494}"/>
              </c:ext>
            </c:extLst>
          </c:dPt>
          <c:dPt>
            <c:idx val="4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4F5-47CF-B752-B60A62806494}"/>
              </c:ext>
            </c:extLst>
          </c:dPt>
          <c:dPt>
            <c:idx val="4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4F5-47CF-B752-B60A62806494}"/>
              </c:ext>
            </c:extLst>
          </c:dPt>
          <c:dPt>
            <c:idx val="4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4F5-47CF-B752-B60A62806494}"/>
              </c:ext>
            </c:extLst>
          </c:dPt>
          <c:dPt>
            <c:idx val="4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4F5-47CF-B752-B60A62806494}"/>
              </c:ext>
            </c:extLst>
          </c:dPt>
          <c:dPt>
            <c:idx val="4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4F5-47CF-B752-B60A62806494}"/>
              </c:ext>
            </c:extLst>
          </c:dPt>
          <c:dPt>
            <c:idx val="4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4F5-47CF-B752-B60A62806494}"/>
              </c:ext>
            </c:extLst>
          </c:dPt>
          <c:dPt>
            <c:idx val="5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4F5-47CF-B752-B60A62806494}"/>
              </c:ext>
            </c:extLst>
          </c:dPt>
          <c:dPt>
            <c:idx val="5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4F5-47CF-B752-B60A62806494}"/>
              </c:ext>
            </c:extLst>
          </c:dPt>
          <c:dPt>
            <c:idx val="5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4F5-47CF-B752-B60A62806494}"/>
              </c:ext>
            </c:extLst>
          </c:dPt>
          <c:dPt>
            <c:idx val="5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4F5-47CF-B752-B60A62806494}"/>
              </c:ext>
            </c:extLst>
          </c:dPt>
          <c:dPt>
            <c:idx val="5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4F5-47CF-B752-B60A62806494}"/>
              </c:ext>
            </c:extLst>
          </c:dPt>
          <c:dPt>
            <c:idx val="5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4F5-47CF-B752-B60A62806494}"/>
              </c:ext>
            </c:extLst>
          </c:dPt>
          <c:dPt>
            <c:idx val="5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4F5-47CF-B752-B60A62806494}"/>
              </c:ext>
            </c:extLst>
          </c:dPt>
          <c:dPt>
            <c:idx val="5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4F5-47CF-B752-B60A62806494}"/>
              </c:ext>
            </c:extLst>
          </c:dPt>
          <c:dPt>
            <c:idx val="5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4F5-47CF-B752-B60A62806494}"/>
              </c:ext>
            </c:extLst>
          </c:dPt>
          <c:dPt>
            <c:idx val="5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4F5-47CF-B752-B60A62806494}"/>
              </c:ext>
            </c:extLst>
          </c:dPt>
          <c:dPt>
            <c:idx val="6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4F5-47CF-B752-B60A62806494}"/>
              </c:ext>
            </c:extLst>
          </c:dPt>
          <c:dPt>
            <c:idx val="6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4F5-47CF-B752-B60A62806494}"/>
              </c:ext>
            </c:extLst>
          </c:dPt>
          <c:dPt>
            <c:idx val="6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4F5-47CF-B752-B60A62806494}"/>
              </c:ext>
            </c:extLst>
          </c:dPt>
          <c:dPt>
            <c:idx val="6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4F5-47CF-B752-B60A62806494}"/>
              </c:ext>
            </c:extLst>
          </c:dPt>
          <c:dPt>
            <c:idx val="6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4F5-47CF-B752-B60A62806494}"/>
              </c:ext>
            </c:extLst>
          </c:dPt>
          <c:dPt>
            <c:idx val="6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4F5-47CF-B752-B60A62806494}"/>
              </c:ext>
            </c:extLst>
          </c:dPt>
          <c:dPt>
            <c:idx val="6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4F5-47CF-B752-B60A62806494}"/>
              </c:ext>
            </c:extLst>
          </c:dPt>
          <c:dPt>
            <c:idx val="6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4F5-47CF-B752-B60A62806494}"/>
              </c:ext>
            </c:extLst>
          </c:dPt>
          <c:dPt>
            <c:idx val="6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4F5-47CF-B752-B60A62806494}"/>
              </c:ext>
            </c:extLst>
          </c:dPt>
          <c:dPt>
            <c:idx val="6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4F5-47CF-B752-B60A62806494}"/>
              </c:ext>
            </c:extLst>
          </c:dPt>
          <c:dPt>
            <c:idx val="7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4F5-47CF-B752-B60A62806494}"/>
              </c:ext>
            </c:extLst>
          </c:dPt>
          <c:dPt>
            <c:idx val="7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4F5-47CF-B752-B60A62806494}"/>
              </c:ext>
            </c:extLst>
          </c:dPt>
          <c:dPt>
            <c:idx val="72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4F5-47CF-B752-B60A62806494}"/>
              </c:ext>
            </c:extLst>
          </c:dPt>
          <c:dPt>
            <c:idx val="73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4F5-47CF-B752-B60A62806494}"/>
              </c:ext>
            </c:extLst>
          </c:dPt>
          <c:dPt>
            <c:idx val="74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4F5-47CF-B752-B60A62806494}"/>
              </c:ext>
            </c:extLst>
          </c:dPt>
          <c:dPt>
            <c:idx val="75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4F5-47CF-B752-B60A62806494}"/>
              </c:ext>
            </c:extLst>
          </c:dPt>
          <c:dPt>
            <c:idx val="76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4F5-47CF-B752-B60A62806494}"/>
              </c:ext>
            </c:extLst>
          </c:dPt>
          <c:dPt>
            <c:idx val="77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4F5-47CF-B752-B60A62806494}"/>
              </c:ext>
            </c:extLst>
          </c:dPt>
          <c:dPt>
            <c:idx val="78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4F5-47CF-B752-B60A62806494}"/>
              </c:ext>
            </c:extLst>
          </c:dPt>
          <c:dPt>
            <c:idx val="79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4F5-47CF-B752-B60A62806494}"/>
              </c:ext>
            </c:extLst>
          </c:dPt>
          <c:dPt>
            <c:idx val="80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4F5-47CF-B752-B60A62806494}"/>
              </c:ext>
            </c:extLst>
          </c:dPt>
          <c:dPt>
            <c:idx val="81"/>
            <c:marker>
              <c:symbol val="triangle"/>
              <c:size val="6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4F5-47CF-B752-B60A62806494}"/>
              </c:ext>
            </c:extLst>
          </c:dPt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2.555434228562118E-2"/>
                  <c:y val="-3.418932155776242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1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Results'!$J$4:$J$33</c:f>
              <c:numCache>
                <c:formatCode>#,##0</c:formatCode>
                <c:ptCount val="30"/>
                <c:pt idx="0">
                  <c:v>100.9</c:v>
                </c:pt>
                <c:pt idx="1">
                  <c:v>182.7</c:v>
                </c:pt>
                <c:pt idx="2">
                  <c:v>296.2</c:v>
                </c:pt>
                <c:pt idx="3">
                  <c:v>375.3</c:v>
                </c:pt>
                <c:pt idx="4">
                  <c:v>404.4</c:v>
                </c:pt>
                <c:pt idx="5">
                  <c:v>504.7</c:v>
                </c:pt>
                <c:pt idx="6">
                  <c:v>617.9</c:v>
                </c:pt>
                <c:pt idx="7">
                  <c:v>798</c:v>
                </c:pt>
                <c:pt idx="8">
                  <c:v>832.5</c:v>
                </c:pt>
                <c:pt idx="9">
                  <c:v>306.5</c:v>
                </c:pt>
                <c:pt idx="10">
                  <c:v>1071.5999999999999</c:v>
                </c:pt>
                <c:pt idx="11">
                  <c:v>1204.5999999999999</c:v>
                </c:pt>
                <c:pt idx="12">
                  <c:v>1251.0999999999999</c:v>
                </c:pt>
                <c:pt idx="13">
                  <c:v>1824</c:v>
                </c:pt>
                <c:pt idx="14">
                  <c:v>2255.5</c:v>
                </c:pt>
                <c:pt idx="15">
                  <c:v>2859.5</c:v>
                </c:pt>
                <c:pt idx="16">
                  <c:v>4123</c:v>
                </c:pt>
                <c:pt idx="17">
                  <c:v>5679.7</c:v>
                </c:pt>
                <c:pt idx="18">
                  <c:v>6539</c:v>
                </c:pt>
                <c:pt idx="19">
                  <c:v>8283.1</c:v>
                </c:pt>
                <c:pt idx="20">
                  <c:v>10181.299999999999</c:v>
                </c:pt>
                <c:pt idx="21">
                  <c:v>17619.599999999999</c:v>
                </c:pt>
                <c:pt idx="22">
                  <c:v>28922.1</c:v>
                </c:pt>
                <c:pt idx="23">
                  <c:v>34382.300000000003</c:v>
                </c:pt>
                <c:pt idx="24">
                  <c:v>48516.800000000003</c:v>
                </c:pt>
                <c:pt idx="25">
                  <c:v>55426.8</c:v>
                </c:pt>
                <c:pt idx="26">
                  <c:v>68917.2</c:v>
                </c:pt>
                <c:pt idx="27">
                  <c:v>68993.100000000006</c:v>
                </c:pt>
                <c:pt idx="28">
                  <c:v>97728.9</c:v>
                </c:pt>
                <c:pt idx="29">
                  <c:v>139703.20000000001</c:v>
                </c:pt>
              </c:numCache>
            </c:numRef>
          </c:xVal>
          <c:yVal>
            <c:numRef>
              <c:f>'Expt 3 Results'!$K$4:$K$33</c:f>
              <c:numCache>
                <c:formatCode>General</c:formatCode>
                <c:ptCount val="30"/>
                <c:pt idx="0">
                  <c:v>0.14000000000000001</c:v>
                </c:pt>
                <c:pt idx="1">
                  <c:v>0.34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0.17</c:v>
                </c:pt>
                <c:pt idx="5">
                  <c:v>0.16</c:v>
                </c:pt>
                <c:pt idx="6">
                  <c:v>0.16</c:v>
                </c:pt>
                <c:pt idx="7">
                  <c:v>0.2</c:v>
                </c:pt>
                <c:pt idx="8">
                  <c:v>0.24</c:v>
                </c:pt>
                <c:pt idx="9">
                  <c:v>0.3</c:v>
                </c:pt>
                <c:pt idx="10">
                  <c:v>0.21</c:v>
                </c:pt>
                <c:pt idx="11">
                  <c:v>0.24</c:v>
                </c:pt>
                <c:pt idx="12">
                  <c:v>0.26</c:v>
                </c:pt>
                <c:pt idx="13">
                  <c:v>0.24</c:v>
                </c:pt>
                <c:pt idx="14">
                  <c:v>0.2</c:v>
                </c:pt>
                <c:pt idx="15">
                  <c:v>0.21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0.36</c:v>
                </c:pt>
                <c:pt idx="19">
                  <c:v>0.31</c:v>
                </c:pt>
                <c:pt idx="20">
                  <c:v>0.32</c:v>
                </c:pt>
                <c:pt idx="21">
                  <c:v>0.43</c:v>
                </c:pt>
                <c:pt idx="22">
                  <c:v>0.53</c:v>
                </c:pt>
                <c:pt idx="23">
                  <c:v>0.51</c:v>
                </c:pt>
                <c:pt idx="24">
                  <c:v>0.57999999999999996</c:v>
                </c:pt>
                <c:pt idx="25">
                  <c:v>0.71</c:v>
                </c:pt>
                <c:pt idx="26">
                  <c:v>0.71</c:v>
                </c:pt>
                <c:pt idx="27">
                  <c:v>0.63</c:v>
                </c:pt>
                <c:pt idx="28">
                  <c:v>0.88</c:v>
                </c:pt>
                <c:pt idx="2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54F5-47CF-B752-B60A62806494}"/>
            </c:ext>
          </c:extLst>
        </c:ser>
        <c:ser>
          <c:idx val="1"/>
          <c:order val="2"/>
          <c:tx>
            <c:v>Iceland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4F5-47CF-B752-B60A62806494}"/>
              </c:ext>
            </c:extLst>
          </c:dPt>
          <c:dPt>
            <c:idx val="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4F5-47CF-B752-B60A62806494}"/>
              </c:ext>
            </c:extLst>
          </c:dPt>
          <c:dPt>
            <c:idx val="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4F5-47CF-B752-B60A62806494}"/>
              </c:ext>
            </c:extLst>
          </c:dPt>
          <c:dPt>
            <c:idx val="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4F5-47CF-B752-B60A62806494}"/>
              </c:ext>
            </c:extLst>
          </c:dPt>
          <c:dPt>
            <c:idx val="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4F5-47CF-B752-B60A62806494}"/>
              </c:ext>
            </c:extLst>
          </c:dPt>
          <c:dPt>
            <c:idx val="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4F5-47CF-B752-B60A62806494}"/>
              </c:ext>
            </c:extLst>
          </c:dPt>
          <c:dPt>
            <c:idx val="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4F5-47CF-B752-B60A62806494}"/>
              </c:ext>
            </c:extLst>
          </c:dPt>
          <c:dPt>
            <c:idx val="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4F5-47CF-B752-B60A62806494}"/>
              </c:ext>
            </c:extLst>
          </c:dPt>
          <c:dPt>
            <c:idx val="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4F5-47CF-B752-B60A62806494}"/>
              </c:ext>
            </c:extLst>
          </c:dPt>
          <c:dPt>
            <c:idx val="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4F5-47CF-B752-B60A62806494}"/>
              </c:ext>
            </c:extLst>
          </c:dPt>
          <c:dPt>
            <c:idx val="1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4F5-47CF-B752-B60A62806494}"/>
              </c:ext>
            </c:extLst>
          </c:dPt>
          <c:dPt>
            <c:idx val="1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4F5-47CF-B752-B60A62806494}"/>
              </c:ext>
            </c:extLst>
          </c:dPt>
          <c:dPt>
            <c:idx val="1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4F5-47CF-B752-B60A62806494}"/>
              </c:ext>
            </c:extLst>
          </c:dPt>
          <c:dPt>
            <c:idx val="1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4F5-47CF-B752-B60A62806494}"/>
              </c:ext>
            </c:extLst>
          </c:dPt>
          <c:dPt>
            <c:idx val="1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4F5-47CF-B752-B60A62806494}"/>
              </c:ext>
            </c:extLst>
          </c:dPt>
          <c:dPt>
            <c:idx val="1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4F5-47CF-B752-B60A62806494}"/>
              </c:ext>
            </c:extLst>
          </c:dPt>
          <c:dPt>
            <c:idx val="1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4F5-47CF-B752-B60A62806494}"/>
              </c:ext>
            </c:extLst>
          </c:dPt>
          <c:dPt>
            <c:idx val="1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4F5-47CF-B752-B60A62806494}"/>
              </c:ext>
            </c:extLst>
          </c:dPt>
          <c:dPt>
            <c:idx val="1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4F5-47CF-B752-B60A62806494}"/>
              </c:ext>
            </c:extLst>
          </c:dPt>
          <c:dPt>
            <c:idx val="1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4F5-47CF-B752-B60A62806494}"/>
              </c:ext>
            </c:extLst>
          </c:dPt>
          <c:dPt>
            <c:idx val="2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4F5-47CF-B752-B60A62806494}"/>
              </c:ext>
            </c:extLst>
          </c:dPt>
          <c:dPt>
            <c:idx val="2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4F5-47CF-B752-B60A62806494}"/>
              </c:ext>
            </c:extLst>
          </c:dPt>
          <c:dPt>
            <c:idx val="2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4F5-47CF-B752-B60A62806494}"/>
              </c:ext>
            </c:extLst>
          </c:dPt>
          <c:dPt>
            <c:idx val="2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4F5-47CF-B752-B60A62806494}"/>
              </c:ext>
            </c:extLst>
          </c:dPt>
          <c:dPt>
            <c:idx val="2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4F5-47CF-B752-B60A62806494}"/>
              </c:ext>
            </c:extLst>
          </c:dPt>
          <c:dPt>
            <c:idx val="2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4F5-47CF-B752-B60A62806494}"/>
              </c:ext>
            </c:extLst>
          </c:dPt>
          <c:dPt>
            <c:idx val="2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4F5-47CF-B752-B60A62806494}"/>
              </c:ext>
            </c:extLst>
          </c:dPt>
          <c:dPt>
            <c:idx val="2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4F5-47CF-B752-B60A62806494}"/>
              </c:ext>
            </c:extLst>
          </c:dPt>
          <c:dPt>
            <c:idx val="2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4F5-47CF-B752-B60A62806494}"/>
              </c:ext>
            </c:extLst>
          </c:dPt>
          <c:dPt>
            <c:idx val="2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4F5-47CF-B752-B60A62806494}"/>
              </c:ext>
            </c:extLst>
          </c:dPt>
          <c:dPt>
            <c:idx val="3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4F5-47CF-B752-B60A62806494}"/>
              </c:ext>
            </c:extLst>
          </c:dPt>
          <c:dPt>
            <c:idx val="3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4F5-47CF-B752-B60A62806494}"/>
              </c:ext>
            </c:extLst>
          </c:dPt>
          <c:dPt>
            <c:idx val="3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4F5-47CF-B752-B60A62806494}"/>
              </c:ext>
            </c:extLst>
          </c:dPt>
          <c:dPt>
            <c:idx val="3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4F5-47CF-B752-B60A62806494}"/>
              </c:ext>
            </c:extLst>
          </c:dPt>
          <c:dPt>
            <c:idx val="3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4F5-47CF-B752-B60A62806494}"/>
              </c:ext>
            </c:extLst>
          </c:dPt>
          <c:dPt>
            <c:idx val="3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4F5-47CF-B752-B60A62806494}"/>
              </c:ext>
            </c:extLst>
          </c:dPt>
          <c:dPt>
            <c:idx val="3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4F5-47CF-B752-B60A62806494}"/>
              </c:ext>
            </c:extLst>
          </c:dPt>
          <c:dPt>
            <c:idx val="3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4F5-47CF-B752-B60A62806494}"/>
              </c:ext>
            </c:extLst>
          </c:dPt>
          <c:dPt>
            <c:idx val="3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4F5-47CF-B752-B60A62806494}"/>
              </c:ext>
            </c:extLst>
          </c:dPt>
          <c:dPt>
            <c:idx val="3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4F5-47CF-B752-B60A62806494}"/>
              </c:ext>
            </c:extLst>
          </c:dPt>
          <c:dPt>
            <c:idx val="4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4F5-47CF-B752-B60A62806494}"/>
              </c:ext>
            </c:extLst>
          </c:dPt>
          <c:dPt>
            <c:idx val="4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4F5-47CF-B752-B60A62806494}"/>
              </c:ext>
            </c:extLst>
          </c:dPt>
          <c:dPt>
            <c:idx val="4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4F5-47CF-B752-B60A62806494}"/>
              </c:ext>
            </c:extLst>
          </c:dPt>
          <c:dPt>
            <c:idx val="4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4F5-47CF-B752-B60A62806494}"/>
              </c:ext>
            </c:extLst>
          </c:dPt>
          <c:dPt>
            <c:idx val="4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4F5-47CF-B752-B60A62806494}"/>
              </c:ext>
            </c:extLst>
          </c:dPt>
          <c:dPt>
            <c:idx val="4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4F5-47CF-B752-B60A62806494}"/>
              </c:ext>
            </c:extLst>
          </c:dPt>
          <c:dPt>
            <c:idx val="4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4F5-47CF-B752-B60A62806494}"/>
              </c:ext>
            </c:extLst>
          </c:dPt>
          <c:dPt>
            <c:idx val="4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4F5-47CF-B752-B60A62806494}"/>
              </c:ext>
            </c:extLst>
          </c:dPt>
          <c:dPt>
            <c:idx val="4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4F5-47CF-B752-B60A62806494}"/>
              </c:ext>
            </c:extLst>
          </c:dPt>
          <c:dPt>
            <c:idx val="4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4F5-47CF-B752-B60A62806494}"/>
              </c:ext>
            </c:extLst>
          </c:dPt>
          <c:dPt>
            <c:idx val="5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4F5-47CF-B752-B60A62806494}"/>
              </c:ext>
            </c:extLst>
          </c:dPt>
          <c:dPt>
            <c:idx val="5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4F5-47CF-B752-B60A62806494}"/>
              </c:ext>
            </c:extLst>
          </c:dPt>
          <c:dPt>
            <c:idx val="5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4F5-47CF-B752-B60A62806494}"/>
              </c:ext>
            </c:extLst>
          </c:dPt>
          <c:dPt>
            <c:idx val="5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4F5-47CF-B752-B60A62806494}"/>
              </c:ext>
            </c:extLst>
          </c:dPt>
          <c:dPt>
            <c:idx val="5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4F5-47CF-B752-B60A62806494}"/>
              </c:ext>
            </c:extLst>
          </c:dPt>
          <c:dPt>
            <c:idx val="5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4F5-47CF-B752-B60A62806494}"/>
              </c:ext>
            </c:extLst>
          </c:dPt>
          <c:dPt>
            <c:idx val="5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4F5-47CF-B752-B60A62806494}"/>
              </c:ext>
            </c:extLst>
          </c:dPt>
          <c:dPt>
            <c:idx val="5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4F5-47CF-B752-B60A62806494}"/>
              </c:ext>
            </c:extLst>
          </c:dPt>
          <c:dPt>
            <c:idx val="5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4F5-47CF-B752-B60A62806494}"/>
              </c:ext>
            </c:extLst>
          </c:dPt>
          <c:dPt>
            <c:idx val="5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4F5-47CF-B752-B60A62806494}"/>
              </c:ext>
            </c:extLst>
          </c:dPt>
          <c:dPt>
            <c:idx val="6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4F5-47CF-B752-B60A62806494}"/>
              </c:ext>
            </c:extLst>
          </c:dPt>
          <c:dPt>
            <c:idx val="6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4F5-47CF-B752-B60A62806494}"/>
              </c:ext>
            </c:extLst>
          </c:dPt>
          <c:dPt>
            <c:idx val="6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4F5-47CF-B752-B60A62806494}"/>
              </c:ext>
            </c:extLst>
          </c:dPt>
          <c:dPt>
            <c:idx val="6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4F5-47CF-B752-B60A62806494}"/>
              </c:ext>
            </c:extLst>
          </c:dPt>
          <c:dPt>
            <c:idx val="6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4F5-47CF-B752-B60A62806494}"/>
              </c:ext>
            </c:extLst>
          </c:dPt>
          <c:dPt>
            <c:idx val="6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4F5-47CF-B752-B60A62806494}"/>
              </c:ext>
            </c:extLst>
          </c:dPt>
          <c:dPt>
            <c:idx val="6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4F5-47CF-B752-B60A62806494}"/>
              </c:ext>
            </c:extLst>
          </c:dPt>
          <c:dPt>
            <c:idx val="6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4F5-47CF-B752-B60A62806494}"/>
              </c:ext>
            </c:extLst>
          </c:dPt>
          <c:dPt>
            <c:idx val="6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4F5-47CF-B752-B60A62806494}"/>
              </c:ext>
            </c:extLst>
          </c:dPt>
          <c:dPt>
            <c:idx val="6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4F5-47CF-B752-B60A62806494}"/>
              </c:ext>
            </c:extLst>
          </c:dPt>
          <c:dPt>
            <c:idx val="7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4F5-47CF-B752-B60A62806494}"/>
              </c:ext>
            </c:extLst>
          </c:dPt>
          <c:dPt>
            <c:idx val="7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4F5-47CF-B752-B60A62806494}"/>
              </c:ext>
            </c:extLst>
          </c:dPt>
          <c:dPt>
            <c:idx val="72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4F5-47CF-B752-B60A62806494}"/>
              </c:ext>
            </c:extLst>
          </c:dPt>
          <c:dPt>
            <c:idx val="73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4F5-47CF-B752-B60A62806494}"/>
              </c:ext>
            </c:extLst>
          </c:dPt>
          <c:dPt>
            <c:idx val="74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4F5-47CF-B752-B60A62806494}"/>
              </c:ext>
            </c:extLst>
          </c:dPt>
          <c:dPt>
            <c:idx val="75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4F5-47CF-B752-B60A62806494}"/>
              </c:ext>
            </c:extLst>
          </c:dPt>
          <c:dPt>
            <c:idx val="76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4F5-47CF-B752-B60A62806494}"/>
              </c:ext>
            </c:extLst>
          </c:dPt>
          <c:dPt>
            <c:idx val="77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4F5-47CF-B752-B60A62806494}"/>
              </c:ext>
            </c:extLst>
          </c:dPt>
          <c:dPt>
            <c:idx val="78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4F5-47CF-B752-B60A62806494}"/>
              </c:ext>
            </c:extLst>
          </c:dPt>
          <c:dPt>
            <c:idx val="79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4F5-47CF-B752-B60A62806494}"/>
              </c:ext>
            </c:extLst>
          </c:dPt>
          <c:dPt>
            <c:idx val="80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4F5-47CF-B752-B60A62806494}"/>
              </c:ext>
            </c:extLst>
          </c:dPt>
          <c:dPt>
            <c:idx val="81"/>
            <c:marker>
              <c:symbol val="square"/>
              <c:size val="6"/>
              <c:spPr>
                <a:noFill/>
                <a:ln w="127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4F5-47CF-B752-B60A62806494}"/>
              </c:ext>
            </c:extLst>
          </c:dPt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10763560346850705"/>
                  <c:y val="-6.5849444363179285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3 Results'!$J$34:$J$55</c:f>
              <c:numCache>
                <c:formatCode>#,##0</c:formatCode>
                <c:ptCount val="22"/>
                <c:pt idx="0">
                  <c:v>99.2</c:v>
                </c:pt>
                <c:pt idx="1">
                  <c:v>106.5</c:v>
                </c:pt>
                <c:pt idx="2">
                  <c:v>207.3</c:v>
                </c:pt>
                <c:pt idx="3">
                  <c:v>641.4</c:v>
                </c:pt>
                <c:pt idx="4">
                  <c:v>267.10000000000002</c:v>
                </c:pt>
                <c:pt idx="5">
                  <c:v>388.6</c:v>
                </c:pt>
                <c:pt idx="6">
                  <c:v>510.2</c:v>
                </c:pt>
                <c:pt idx="7">
                  <c:v>465.8</c:v>
                </c:pt>
                <c:pt idx="8">
                  <c:v>493</c:v>
                </c:pt>
                <c:pt idx="9">
                  <c:v>574.5</c:v>
                </c:pt>
                <c:pt idx="10">
                  <c:v>563.1</c:v>
                </c:pt>
                <c:pt idx="11">
                  <c:v>704.1</c:v>
                </c:pt>
                <c:pt idx="12">
                  <c:v>871.4</c:v>
                </c:pt>
                <c:pt idx="13">
                  <c:v>1126.9000000000001</c:v>
                </c:pt>
                <c:pt idx="14">
                  <c:v>1718.7</c:v>
                </c:pt>
                <c:pt idx="15">
                  <c:v>126.4</c:v>
                </c:pt>
                <c:pt idx="16">
                  <c:v>1771.1</c:v>
                </c:pt>
                <c:pt idx="17">
                  <c:v>1925.3</c:v>
                </c:pt>
                <c:pt idx="18">
                  <c:v>2830.4</c:v>
                </c:pt>
                <c:pt idx="19">
                  <c:v>5378</c:v>
                </c:pt>
                <c:pt idx="20">
                  <c:v>5754.5</c:v>
                </c:pt>
                <c:pt idx="21">
                  <c:v>7276.1</c:v>
                </c:pt>
              </c:numCache>
            </c:numRef>
          </c:xVal>
          <c:yVal>
            <c:numRef>
              <c:f>'Expt 3 Results'!$K$34:$K$55</c:f>
              <c:numCache>
                <c:formatCode>General</c:formatCode>
                <c:ptCount val="22"/>
                <c:pt idx="0">
                  <c:v>0.16</c:v>
                </c:pt>
                <c:pt idx="1">
                  <c:v>0.19</c:v>
                </c:pt>
                <c:pt idx="2">
                  <c:v>0.19</c:v>
                </c:pt>
                <c:pt idx="3">
                  <c:v>0.28999999999999998</c:v>
                </c:pt>
                <c:pt idx="4">
                  <c:v>0.22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</c:v>
                </c:pt>
                <c:pt idx="9">
                  <c:v>0.21</c:v>
                </c:pt>
                <c:pt idx="10">
                  <c:v>0.22</c:v>
                </c:pt>
                <c:pt idx="11">
                  <c:v>0.24</c:v>
                </c:pt>
                <c:pt idx="12">
                  <c:v>0.25</c:v>
                </c:pt>
                <c:pt idx="13">
                  <c:v>0.22</c:v>
                </c:pt>
                <c:pt idx="14">
                  <c:v>0.26</c:v>
                </c:pt>
                <c:pt idx="15">
                  <c:v>0.18</c:v>
                </c:pt>
                <c:pt idx="16">
                  <c:v>0.28999999999999998</c:v>
                </c:pt>
                <c:pt idx="17">
                  <c:v>0.33</c:v>
                </c:pt>
                <c:pt idx="18">
                  <c:v>0.42</c:v>
                </c:pt>
                <c:pt idx="19">
                  <c:v>0.32</c:v>
                </c:pt>
                <c:pt idx="20">
                  <c:v>0.32</c:v>
                </c:pt>
                <c:pt idx="21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54F5-47CF-B752-B60A6280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061759"/>
        <c:axId val="615415983"/>
      </c:scatterChart>
      <c:valAx>
        <c:axId val="61206175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 b="0"/>
                  <a:t>Delineated</a:t>
                </a:r>
                <a:r>
                  <a:rPr lang="fr-FR" b="0" baseline="0"/>
                  <a:t> b</a:t>
                </a:r>
                <a:r>
                  <a:rPr lang="fr-FR" b="0"/>
                  <a:t>asin area, km²</a:t>
                </a:r>
              </a:p>
            </c:rich>
          </c:tx>
          <c:layout>
            <c:manualLayout>
              <c:xMode val="edge"/>
              <c:yMode val="edge"/>
              <c:x val="0.34339806179040994"/>
              <c:y val="0.8808478167177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5415983"/>
        <c:crossesAt val="1.0000000000000002E-3"/>
        <c:crossBetween val="midCat"/>
      </c:valAx>
      <c:valAx>
        <c:axId val="615415983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Delineation time (seconds)</a:t>
                </a:r>
              </a:p>
            </c:rich>
          </c:tx>
          <c:layout>
            <c:manualLayout>
              <c:xMode val="edge"/>
              <c:yMode val="edge"/>
              <c:x val="2.8120977416348513E-2"/>
              <c:y val="0.12843815003608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2061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9951239706920743"/>
          <c:y val="0.50366617514517154"/>
          <c:w val="0.23975955946683136"/>
          <c:h val="0.16576185080189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" l="0" r="0" t="0" header="0" footer="0"/>
    <c:pageSetup paperSize="11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82953934305352"/>
          <c:y val="4.4920953924388995E-2"/>
          <c:w val="0.85962661325985568"/>
          <c:h val="0.7115174117278763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'Expt 4 Results'!$L$3</c:f>
              <c:strCache>
                <c:ptCount val="1"/>
                <c:pt idx="0">
                  <c:v>TauDEM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>
                  <a:alpha val="75000"/>
                </a:srgbClr>
              </a:solidFill>
              <a:ln w="9525">
                <a:solidFill>
                  <a:schemeClr val="bg1">
                    <a:alpha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243329015632258"/>
                  <c:y val="5.0218530129586325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Results'!$L$4:$L$49</c:f>
              <c:numCache>
                <c:formatCode>0.0</c:formatCode>
                <c:ptCount val="46"/>
                <c:pt idx="0">
                  <c:v>66.599999999999994</c:v>
                </c:pt>
                <c:pt idx="1">
                  <c:v>35.6</c:v>
                </c:pt>
                <c:pt idx="2">
                  <c:v>37.299999999999997</c:v>
                </c:pt>
                <c:pt idx="3">
                  <c:v>42</c:v>
                </c:pt>
                <c:pt idx="4">
                  <c:v>68.400000000000006</c:v>
                </c:pt>
                <c:pt idx="5">
                  <c:v>21</c:v>
                </c:pt>
                <c:pt idx="6">
                  <c:v>34.4</c:v>
                </c:pt>
                <c:pt idx="7">
                  <c:v>51.4</c:v>
                </c:pt>
                <c:pt idx="8">
                  <c:v>47.4</c:v>
                </c:pt>
                <c:pt idx="9">
                  <c:v>41.8</c:v>
                </c:pt>
                <c:pt idx="10">
                  <c:v>33.799999999999997</c:v>
                </c:pt>
                <c:pt idx="11">
                  <c:v>54.5</c:v>
                </c:pt>
                <c:pt idx="12">
                  <c:v>43.9</c:v>
                </c:pt>
                <c:pt idx="13">
                  <c:v>61.5</c:v>
                </c:pt>
                <c:pt idx="14">
                  <c:v>60.1</c:v>
                </c:pt>
                <c:pt idx="15">
                  <c:v>51.8</c:v>
                </c:pt>
                <c:pt idx="16">
                  <c:v>51.4</c:v>
                </c:pt>
                <c:pt idx="17">
                  <c:v>42.5</c:v>
                </c:pt>
                <c:pt idx="18">
                  <c:v>45</c:v>
                </c:pt>
                <c:pt idx="19">
                  <c:v>55.8</c:v>
                </c:pt>
                <c:pt idx="20">
                  <c:v>7.44</c:v>
                </c:pt>
                <c:pt idx="21">
                  <c:v>58.2</c:v>
                </c:pt>
                <c:pt idx="22">
                  <c:v>49.3</c:v>
                </c:pt>
                <c:pt idx="23">
                  <c:v>33</c:v>
                </c:pt>
                <c:pt idx="24">
                  <c:v>52.2</c:v>
                </c:pt>
                <c:pt idx="25">
                  <c:v>31.2</c:v>
                </c:pt>
                <c:pt idx="26">
                  <c:v>28.1</c:v>
                </c:pt>
                <c:pt idx="27">
                  <c:v>19.2</c:v>
                </c:pt>
                <c:pt idx="28">
                  <c:v>78.3</c:v>
                </c:pt>
                <c:pt idx="29">
                  <c:v>20.5</c:v>
                </c:pt>
                <c:pt idx="30">
                  <c:v>52.6</c:v>
                </c:pt>
                <c:pt idx="31">
                  <c:v>19</c:v>
                </c:pt>
                <c:pt idx="32">
                  <c:v>36.1</c:v>
                </c:pt>
                <c:pt idx="33">
                  <c:v>24.5</c:v>
                </c:pt>
                <c:pt idx="34">
                  <c:v>57.6</c:v>
                </c:pt>
                <c:pt idx="35">
                  <c:v>34.5</c:v>
                </c:pt>
                <c:pt idx="36">
                  <c:v>44.7</c:v>
                </c:pt>
                <c:pt idx="37">
                  <c:v>29.8</c:v>
                </c:pt>
                <c:pt idx="38">
                  <c:v>50</c:v>
                </c:pt>
                <c:pt idx="39">
                  <c:v>48.3</c:v>
                </c:pt>
                <c:pt idx="40">
                  <c:v>83.6</c:v>
                </c:pt>
                <c:pt idx="41">
                  <c:v>27.6</c:v>
                </c:pt>
                <c:pt idx="42">
                  <c:v>55.3</c:v>
                </c:pt>
                <c:pt idx="43">
                  <c:v>46.5</c:v>
                </c:pt>
                <c:pt idx="44">
                  <c:v>39.1</c:v>
                </c:pt>
                <c:pt idx="45">
                  <c:v>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7-43BE-8960-73035C731C86}"/>
            </c:ext>
          </c:extLst>
        </c:ser>
        <c:ser>
          <c:idx val="0"/>
          <c:order val="1"/>
          <c:tx>
            <c:strRef>
              <c:f>'Expt 4 Results'!$K$3</c:f>
              <c:strCache>
                <c:ptCount val="1"/>
                <c:pt idx="0">
                  <c:v>pysheds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75000"/>
                </a:schemeClr>
              </a:solidFill>
              <a:ln w="9525">
                <a:solidFill>
                  <a:schemeClr val="bg1">
                    <a:alpha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9.6893593996193322E-3"/>
                  <c:y val="0.18963627015948531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Results'!$K$4:$K$49</c:f>
              <c:numCache>
                <c:formatCode>0.0</c:formatCode>
                <c:ptCount val="46"/>
                <c:pt idx="0">
                  <c:v>33.94</c:v>
                </c:pt>
                <c:pt idx="1">
                  <c:v>16.170000000000002</c:v>
                </c:pt>
                <c:pt idx="2">
                  <c:v>16.739999999999998</c:v>
                </c:pt>
                <c:pt idx="3">
                  <c:v>19.05</c:v>
                </c:pt>
                <c:pt idx="4">
                  <c:v>47.18</c:v>
                </c:pt>
                <c:pt idx="5">
                  <c:v>8.43</c:v>
                </c:pt>
                <c:pt idx="6">
                  <c:v>12.28</c:v>
                </c:pt>
                <c:pt idx="7">
                  <c:v>28.53</c:v>
                </c:pt>
                <c:pt idx="8">
                  <c:v>22.28</c:v>
                </c:pt>
                <c:pt idx="9">
                  <c:v>19.579999999999998</c:v>
                </c:pt>
                <c:pt idx="10">
                  <c:v>12.6</c:v>
                </c:pt>
                <c:pt idx="11">
                  <c:v>26.59</c:v>
                </c:pt>
                <c:pt idx="12">
                  <c:v>19.829999999999998</c:v>
                </c:pt>
                <c:pt idx="13">
                  <c:v>30.47</c:v>
                </c:pt>
                <c:pt idx="14">
                  <c:v>33.14</c:v>
                </c:pt>
                <c:pt idx="15">
                  <c:v>25.03</c:v>
                </c:pt>
                <c:pt idx="16">
                  <c:v>31.54</c:v>
                </c:pt>
                <c:pt idx="17">
                  <c:v>24.58</c:v>
                </c:pt>
                <c:pt idx="18">
                  <c:v>24.42</c:v>
                </c:pt>
                <c:pt idx="19">
                  <c:v>32.659999999999997</c:v>
                </c:pt>
                <c:pt idx="20">
                  <c:v>3.81</c:v>
                </c:pt>
                <c:pt idx="21">
                  <c:v>24.13</c:v>
                </c:pt>
                <c:pt idx="22">
                  <c:v>19.420000000000002</c:v>
                </c:pt>
                <c:pt idx="23">
                  <c:v>10.59</c:v>
                </c:pt>
                <c:pt idx="24">
                  <c:v>25.12</c:v>
                </c:pt>
                <c:pt idx="25">
                  <c:v>12.35</c:v>
                </c:pt>
                <c:pt idx="26">
                  <c:v>10.11</c:v>
                </c:pt>
                <c:pt idx="27">
                  <c:v>6.8</c:v>
                </c:pt>
                <c:pt idx="28">
                  <c:v>48.83</c:v>
                </c:pt>
                <c:pt idx="29">
                  <c:v>8.75</c:v>
                </c:pt>
                <c:pt idx="30">
                  <c:v>26.28</c:v>
                </c:pt>
                <c:pt idx="31">
                  <c:v>7.89</c:v>
                </c:pt>
                <c:pt idx="32">
                  <c:v>12.99</c:v>
                </c:pt>
                <c:pt idx="33">
                  <c:v>8.98</c:v>
                </c:pt>
                <c:pt idx="34">
                  <c:v>24.02</c:v>
                </c:pt>
                <c:pt idx="35">
                  <c:v>13.77</c:v>
                </c:pt>
                <c:pt idx="36">
                  <c:v>20.65</c:v>
                </c:pt>
                <c:pt idx="37">
                  <c:v>11.19</c:v>
                </c:pt>
                <c:pt idx="38">
                  <c:v>23.88</c:v>
                </c:pt>
                <c:pt idx="39">
                  <c:v>25.95</c:v>
                </c:pt>
                <c:pt idx="40">
                  <c:v>58.16</c:v>
                </c:pt>
                <c:pt idx="41">
                  <c:v>12.37</c:v>
                </c:pt>
                <c:pt idx="42">
                  <c:v>28.22</c:v>
                </c:pt>
                <c:pt idx="43">
                  <c:v>23.77</c:v>
                </c:pt>
                <c:pt idx="44">
                  <c:v>17.52</c:v>
                </c:pt>
                <c:pt idx="45">
                  <c:v>8.81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A7-43BE-8960-73035C731C86}"/>
            </c:ext>
          </c:extLst>
        </c:ser>
        <c:ser>
          <c:idx val="2"/>
          <c:order val="2"/>
          <c:tx>
            <c:strRef>
              <c:f>'Expt 4 Results'!$M$3</c:f>
              <c:strCache>
                <c:ptCount val="1"/>
                <c:pt idx="0">
                  <c:v>delineator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600FF">
                  <a:alpha val="75000"/>
                </a:srgbClr>
              </a:solidFill>
              <a:ln w="9525">
                <a:solidFill>
                  <a:schemeClr val="bg1">
                    <a:alpha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5891703387629141E-2"/>
                  <c:y val="-2.5456201709324656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6600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Results'!$M$4:$M$56</c:f>
              <c:numCache>
                <c:formatCode>General</c:formatCode>
                <c:ptCount val="53"/>
                <c:pt idx="0">
                  <c:v>0.77</c:v>
                </c:pt>
                <c:pt idx="1">
                  <c:v>0.46</c:v>
                </c:pt>
                <c:pt idx="2">
                  <c:v>0.77</c:v>
                </c:pt>
                <c:pt idx="3">
                  <c:v>0.51</c:v>
                </c:pt>
                <c:pt idx="4">
                  <c:v>1.07</c:v>
                </c:pt>
                <c:pt idx="5">
                  <c:v>0.81</c:v>
                </c:pt>
                <c:pt idx="6">
                  <c:v>0.48</c:v>
                </c:pt>
                <c:pt idx="7">
                  <c:v>0.56000000000000005</c:v>
                </c:pt>
                <c:pt idx="8">
                  <c:v>0.66</c:v>
                </c:pt>
                <c:pt idx="9">
                  <c:v>0.7</c:v>
                </c:pt>
                <c:pt idx="10">
                  <c:v>0.8</c:v>
                </c:pt>
                <c:pt idx="11">
                  <c:v>0.77</c:v>
                </c:pt>
                <c:pt idx="12">
                  <c:v>0.7</c:v>
                </c:pt>
                <c:pt idx="13">
                  <c:v>0.95</c:v>
                </c:pt>
                <c:pt idx="14">
                  <c:v>0.73</c:v>
                </c:pt>
                <c:pt idx="15">
                  <c:v>0.75</c:v>
                </c:pt>
                <c:pt idx="16">
                  <c:v>0.69</c:v>
                </c:pt>
                <c:pt idx="17">
                  <c:v>0.67</c:v>
                </c:pt>
                <c:pt idx="18">
                  <c:v>0.56999999999999995</c:v>
                </c:pt>
                <c:pt idx="19">
                  <c:v>0.62</c:v>
                </c:pt>
                <c:pt idx="20">
                  <c:v>0.55000000000000004</c:v>
                </c:pt>
                <c:pt idx="21">
                  <c:v>0.61</c:v>
                </c:pt>
                <c:pt idx="22">
                  <c:v>0.56000000000000005</c:v>
                </c:pt>
                <c:pt idx="23">
                  <c:v>0.66</c:v>
                </c:pt>
                <c:pt idx="24">
                  <c:v>0.71</c:v>
                </c:pt>
                <c:pt idx="25">
                  <c:v>0.53</c:v>
                </c:pt>
                <c:pt idx="26">
                  <c:v>0.76</c:v>
                </c:pt>
                <c:pt idx="27">
                  <c:v>0.61</c:v>
                </c:pt>
                <c:pt idx="28">
                  <c:v>0.8</c:v>
                </c:pt>
                <c:pt idx="29">
                  <c:v>0.83</c:v>
                </c:pt>
                <c:pt idx="30">
                  <c:v>0.69</c:v>
                </c:pt>
                <c:pt idx="31">
                  <c:v>0.67</c:v>
                </c:pt>
                <c:pt idx="32">
                  <c:v>0.84</c:v>
                </c:pt>
                <c:pt idx="33">
                  <c:v>0.71</c:v>
                </c:pt>
                <c:pt idx="34">
                  <c:v>0.56999999999999995</c:v>
                </c:pt>
                <c:pt idx="35">
                  <c:v>0.61</c:v>
                </c:pt>
                <c:pt idx="36">
                  <c:v>0.97</c:v>
                </c:pt>
                <c:pt idx="37">
                  <c:v>0.66</c:v>
                </c:pt>
                <c:pt idx="38">
                  <c:v>0.69</c:v>
                </c:pt>
                <c:pt idx="39">
                  <c:v>0.66</c:v>
                </c:pt>
                <c:pt idx="40">
                  <c:v>0.6</c:v>
                </c:pt>
                <c:pt idx="41">
                  <c:v>0.6</c:v>
                </c:pt>
                <c:pt idx="42">
                  <c:v>0.63</c:v>
                </c:pt>
                <c:pt idx="43">
                  <c:v>0.56000000000000005</c:v>
                </c:pt>
                <c:pt idx="44">
                  <c:v>0.75</c:v>
                </c:pt>
                <c:pt idx="45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A7-43BE-8960-73035C73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229312"/>
        <c:axId val="1076255088"/>
      </c:scatterChart>
      <c:valAx>
        <c:axId val="168822931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Flow direction raster size (billions of pixels)</a:t>
                </a:r>
              </a:p>
            </c:rich>
          </c:tx>
          <c:layout>
            <c:manualLayout>
              <c:xMode val="edge"/>
              <c:yMode val="edge"/>
              <c:x val="0.19276613654281538"/>
              <c:y val="0.91281374024235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6255088"/>
        <c:crosses val="autoZero"/>
        <c:crossBetween val="midCat"/>
      </c:valAx>
      <c:valAx>
        <c:axId val="107625508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8229312"/>
        <c:crosses val="autoZero"/>
        <c:crossBetween val="midCat"/>
        <c:majorUnit val="20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3772822448353583"/>
          <c:y val="6.951996796248136E-2"/>
          <c:w val="0.25454472275833689"/>
          <c:h val="0.1956071179474972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" l="0" r="0" t="0" header="0" footer="0"/>
    <c:pageSetup paperSize="11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8916359238367"/>
          <c:y val="4.4920870776770927E-2"/>
          <c:w val="0.58739509309238203"/>
          <c:h val="0.766928528225709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'Expt 4 Results'!$L$3</c:f>
              <c:strCache>
                <c:ptCount val="1"/>
                <c:pt idx="0">
                  <c:v>TauDEM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>
                  <a:alpha val="91000"/>
                </a:srgbClr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452777425184927"/>
                  <c:y val="4.5533550887006087E-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Results'!$L$4:$L$49</c:f>
              <c:numCache>
                <c:formatCode>0.0</c:formatCode>
                <c:ptCount val="46"/>
                <c:pt idx="0">
                  <c:v>66.599999999999994</c:v>
                </c:pt>
                <c:pt idx="1">
                  <c:v>35.6</c:v>
                </c:pt>
                <c:pt idx="2">
                  <c:v>37.299999999999997</c:v>
                </c:pt>
                <c:pt idx="3">
                  <c:v>42</c:v>
                </c:pt>
                <c:pt idx="4">
                  <c:v>68.400000000000006</c:v>
                </c:pt>
                <c:pt idx="5">
                  <c:v>21</c:v>
                </c:pt>
                <c:pt idx="6">
                  <c:v>34.4</c:v>
                </c:pt>
                <c:pt idx="7">
                  <c:v>51.4</c:v>
                </c:pt>
                <c:pt idx="8">
                  <c:v>47.4</c:v>
                </c:pt>
                <c:pt idx="9">
                  <c:v>41.8</c:v>
                </c:pt>
                <c:pt idx="10">
                  <c:v>33.799999999999997</c:v>
                </c:pt>
                <c:pt idx="11">
                  <c:v>54.5</c:v>
                </c:pt>
                <c:pt idx="12">
                  <c:v>43.9</c:v>
                </c:pt>
                <c:pt idx="13">
                  <c:v>61.5</c:v>
                </c:pt>
                <c:pt idx="14">
                  <c:v>60.1</c:v>
                </c:pt>
                <c:pt idx="15">
                  <c:v>51.8</c:v>
                </c:pt>
                <c:pt idx="16">
                  <c:v>51.4</c:v>
                </c:pt>
                <c:pt idx="17">
                  <c:v>42.5</c:v>
                </c:pt>
                <c:pt idx="18">
                  <c:v>45</c:v>
                </c:pt>
                <c:pt idx="19">
                  <c:v>55.8</c:v>
                </c:pt>
                <c:pt idx="20">
                  <c:v>7.44</c:v>
                </c:pt>
                <c:pt idx="21">
                  <c:v>58.2</c:v>
                </c:pt>
                <c:pt idx="22">
                  <c:v>49.3</c:v>
                </c:pt>
                <c:pt idx="23">
                  <c:v>33</c:v>
                </c:pt>
                <c:pt idx="24">
                  <c:v>52.2</c:v>
                </c:pt>
                <c:pt idx="25">
                  <c:v>31.2</c:v>
                </c:pt>
                <c:pt idx="26">
                  <c:v>28.1</c:v>
                </c:pt>
                <c:pt idx="27">
                  <c:v>19.2</c:v>
                </c:pt>
                <c:pt idx="28">
                  <c:v>78.3</c:v>
                </c:pt>
                <c:pt idx="29">
                  <c:v>20.5</c:v>
                </c:pt>
                <c:pt idx="30">
                  <c:v>52.6</c:v>
                </c:pt>
                <c:pt idx="31">
                  <c:v>19</c:v>
                </c:pt>
                <c:pt idx="32">
                  <c:v>36.1</c:v>
                </c:pt>
                <c:pt idx="33">
                  <c:v>24.5</c:v>
                </c:pt>
                <c:pt idx="34">
                  <c:v>57.6</c:v>
                </c:pt>
                <c:pt idx="35">
                  <c:v>34.5</c:v>
                </c:pt>
                <c:pt idx="36">
                  <c:v>44.7</c:v>
                </c:pt>
                <c:pt idx="37">
                  <c:v>29.8</c:v>
                </c:pt>
                <c:pt idx="38">
                  <c:v>50</c:v>
                </c:pt>
                <c:pt idx="39">
                  <c:v>48.3</c:v>
                </c:pt>
                <c:pt idx="40">
                  <c:v>83.6</c:v>
                </c:pt>
                <c:pt idx="41">
                  <c:v>27.6</c:v>
                </c:pt>
                <c:pt idx="42">
                  <c:v>55.3</c:v>
                </c:pt>
                <c:pt idx="43">
                  <c:v>46.5</c:v>
                </c:pt>
                <c:pt idx="44">
                  <c:v>39.1</c:v>
                </c:pt>
                <c:pt idx="45">
                  <c:v>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A-40D6-A633-A5922E44C1F1}"/>
            </c:ext>
          </c:extLst>
        </c:ser>
        <c:ser>
          <c:idx val="0"/>
          <c:order val="1"/>
          <c:tx>
            <c:strRef>
              <c:f>'Expt 4 Results'!$K$3</c:f>
              <c:strCache>
                <c:ptCount val="1"/>
                <c:pt idx="0">
                  <c:v>pysheds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bg1">
                    <a:alpha val="8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6.4098814931138531E-2"/>
                  <c:y val="0.11909683091710668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Results'!$K$4:$K$49</c:f>
              <c:numCache>
                <c:formatCode>0.0</c:formatCode>
                <c:ptCount val="46"/>
                <c:pt idx="0">
                  <c:v>33.94</c:v>
                </c:pt>
                <c:pt idx="1">
                  <c:v>16.170000000000002</c:v>
                </c:pt>
                <c:pt idx="2">
                  <c:v>16.739999999999998</c:v>
                </c:pt>
                <c:pt idx="3">
                  <c:v>19.05</c:v>
                </c:pt>
                <c:pt idx="4">
                  <c:v>47.18</c:v>
                </c:pt>
                <c:pt idx="5">
                  <c:v>8.43</c:v>
                </c:pt>
                <c:pt idx="6">
                  <c:v>12.28</c:v>
                </c:pt>
                <c:pt idx="7">
                  <c:v>28.53</c:v>
                </c:pt>
                <c:pt idx="8">
                  <c:v>22.28</c:v>
                </c:pt>
                <c:pt idx="9">
                  <c:v>19.579999999999998</c:v>
                </c:pt>
                <c:pt idx="10">
                  <c:v>12.6</c:v>
                </c:pt>
                <c:pt idx="11">
                  <c:v>26.59</c:v>
                </c:pt>
                <c:pt idx="12">
                  <c:v>19.829999999999998</c:v>
                </c:pt>
                <c:pt idx="13">
                  <c:v>30.47</c:v>
                </c:pt>
                <c:pt idx="14">
                  <c:v>33.14</c:v>
                </c:pt>
                <c:pt idx="15">
                  <c:v>25.03</c:v>
                </c:pt>
                <c:pt idx="16">
                  <c:v>31.54</c:v>
                </c:pt>
                <c:pt idx="17">
                  <c:v>24.58</c:v>
                </c:pt>
                <c:pt idx="18">
                  <c:v>24.42</c:v>
                </c:pt>
                <c:pt idx="19">
                  <c:v>32.659999999999997</c:v>
                </c:pt>
                <c:pt idx="20">
                  <c:v>3.81</c:v>
                </c:pt>
                <c:pt idx="21">
                  <c:v>24.13</c:v>
                </c:pt>
                <c:pt idx="22">
                  <c:v>19.420000000000002</c:v>
                </c:pt>
                <c:pt idx="23">
                  <c:v>10.59</c:v>
                </c:pt>
                <c:pt idx="24">
                  <c:v>25.12</c:v>
                </c:pt>
                <c:pt idx="25">
                  <c:v>12.35</c:v>
                </c:pt>
                <c:pt idx="26">
                  <c:v>10.11</c:v>
                </c:pt>
                <c:pt idx="27">
                  <c:v>6.8</c:v>
                </c:pt>
                <c:pt idx="28">
                  <c:v>48.83</c:v>
                </c:pt>
                <c:pt idx="29">
                  <c:v>8.75</c:v>
                </c:pt>
                <c:pt idx="30">
                  <c:v>26.28</c:v>
                </c:pt>
                <c:pt idx="31">
                  <c:v>7.89</c:v>
                </c:pt>
                <c:pt idx="32">
                  <c:v>12.99</c:v>
                </c:pt>
                <c:pt idx="33">
                  <c:v>8.98</c:v>
                </c:pt>
                <c:pt idx="34">
                  <c:v>24.02</c:v>
                </c:pt>
                <c:pt idx="35">
                  <c:v>13.77</c:v>
                </c:pt>
                <c:pt idx="36">
                  <c:v>20.65</c:v>
                </c:pt>
                <c:pt idx="37">
                  <c:v>11.19</c:v>
                </c:pt>
                <c:pt idx="38">
                  <c:v>23.88</c:v>
                </c:pt>
                <c:pt idx="39">
                  <c:v>25.95</c:v>
                </c:pt>
                <c:pt idx="40">
                  <c:v>58.16</c:v>
                </c:pt>
                <c:pt idx="41">
                  <c:v>12.37</c:v>
                </c:pt>
                <c:pt idx="42">
                  <c:v>28.22</c:v>
                </c:pt>
                <c:pt idx="43">
                  <c:v>23.77</c:v>
                </c:pt>
                <c:pt idx="44">
                  <c:v>17.52</c:v>
                </c:pt>
                <c:pt idx="45">
                  <c:v>8.81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4A-40D6-A633-A5922E44C1F1}"/>
            </c:ext>
          </c:extLst>
        </c:ser>
        <c:ser>
          <c:idx val="2"/>
          <c:order val="2"/>
          <c:tx>
            <c:strRef>
              <c:f>'Expt 4 Results'!$M$3</c:f>
              <c:strCache>
                <c:ptCount val="1"/>
                <c:pt idx="0">
                  <c:v>delineator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600FF">
                  <a:alpha val="90000"/>
                </a:srgbClr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083405233495531"/>
                  <c:y val="0.1287420343333194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rgbClr val="6600FF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'Expt 4 Results'!$G$4:$G$49</c:f>
              <c:numCache>
                <c:formatCode>#,##0.000</c:formatCode>
                <c:ptCount val="46"/>
                <c:pt idx="0">
                  <c:v>1.98</c:v>
                </c:pt>
                <c:pt idx="1">
                  <c:v>1.296</c:v>
                </c:pt>
                <c:pt idx="2">
                  <c:v>1.296</c:v>
                </c:pt>
                <c:pt idx="3">
                  <c:v>1.44</c:v>
                </c:pt>
                <c:pt idx="4">
                  <c:v>2.3759999999999999</c:v>
                </c:pt>
                <c:pt idx="5">
                  <c:v>0.72</c:v>
                </c:pt>
                <c:pt idx="6">
                  <c:v>1.1519999999999999</c:v>
                </c:pt>
                <c:pt idx="7">
                  <c:v>1.8</c:v>
                </c:pt>
                <c:pt idx="8">
                  <c:v>1.62</c:v>
                </c:pt>
                <c:pt idx="9">
                  <c:v>1.512</c:v>
                </c:pt>
                <c:pt idx="10">
                  <c:v>1.26</c:v>
                </c:pt>
                <c:pt idx="11">
                  <c:v>1.944</c:v>
                </c:pt>
                <c:pt idx="12">
                  <c:v>1.512</c:v>
                </c:pt>
                <c:pt idx="13">
                  <c:v>2.016</c:v>
                </c:pt>
                <c:pt idx="14">
                  <c:v>2.016</c:v>
                </c:pt>
                <c:pt idx="15">
                  <c:v>1.728</c:v>
                </c:pt>
                <c:pt idx="16">
                  <c:v>1.728</c:v>
                </c:pt>
                <c:pt idx="17">
                  <c:v>1.5840000000000001</c:v>
                </c:pt>
                <c:pt idx="18">
                  <c:v>1.62</c:v>
                </c:pt>
                <c:pt idx="19">
                  <c:v>1.98</c:v>
                </c:pt>
                <c:pt idx="20">
                  <c:v>0.216</c:v>
                </c:pt>
                <c:pt idx="21">
                  <c:v>1.728</c:v>
                </c:pt>
                <c:pt idx="22">
                  <c:v>1.512</c:v>
                </c:pt>
                <c:pt idx="23">
                  <c:v>1.008</c:v>
                </c:pt>
                <c:pt idx="24">
                  <c:v>1.764</c:v>
                </c:pt>
                <c:pt idx="25">
                  <c:v>1.08</c:v>
                </c:pt>
                <c:pt idx="26">
                  <c:v>0.97199999999999998</c:v>
                </c:pt>
                <c:pt idx="27">
                  <c:v>0.64800000000000002</c:v>
                </c:pt>
                <c:pt idx="28">
                  <c:v>2.5920000000000001</c:v>
                </c:pt>
                <c:pt idx="29">
                  <c:v>0.75600000000000001</c:v>
                </c:pt>
                <c:pt idx="30">
                  <c:v>1.764</c:v>
                </c:pt>
                <c:pt idx="31">
                  <c:v>0.72</c:v>
                </c:pt>
                <c:pt idx="32">
                  <c:v>1.296</c:v>
                </c:pt>
                <c:pt idx="33">
                  <c:v>0.86399999999999999</c:v>
                </c:pt>
                <c:pt idx="34">
                  <c:v>1.8</c:v>
                </c:pt>
                <c:pt idx="35">
                  <c:v>1.296</c:v>
                </c:pt>
                <c:pt idx="36">
                  <c:v>1.62</c:v>
                </c:pt>
                <c:pt idx="37">
                  <c:v>1.08</c:v>
                </c:pt>
                <c:pt idx="38">
                  <c:v>1.728</c:v>
                </c:pt>
                <c:pt idx="39">
                  <c:v>1.764</c:v>
                </c:pt>
                <c:pt idx="40">
                  <c:v>2.88</c:v>
                </c:pt>
                <c:pt idx="41">
                  <c:v>1.008</c:v>
                </c:pt>
                <c:pt idx="42">
                  <c:v>1.98</c:v>
                </c:pt>
                <c:pt idx="43">
                  <c:v>1.62</c:v>
                </c:pt>
                <c:pt idx="44">
                  <c:v>1.44</c:v>
                </c:pt>
                <c:pt idx="45">
                  <c:v>0.75600000000000001</c:v>
                </c:pt>
              </c:numCache>
            </c:numRef>
          </c:xVal>
          <c:yVal>
            <c:numRef>
              <c:f>'Expt 4 Results'!$M$4:$M$56</c:f>
              <c:numCache>
                <c:formatCode>General</c:formatCode>
                <c:ptCount val="53"/>
                <c:pt idx="0">
                  <c:v>0.77</c:v>
                </c:pt>
                <c:pt idx="1">
                  <c:v>0.46</c:v>
                </c:pt>
                <c:pt idx="2">
                  <c:v>0.77</c:v>
                </c:pt>
                <c:pt idx="3">
                  <c:v>0.51</c:v>
                </c:pt>
                <c:pt idx="4">
                  <c:v>1.07</c:v>
                </c:pt>
                <c:pt idx="5">
                  <c:v>0.81</c:v>
                </c:pt>
                <c:pt idx="6">
                  <c:v>0.48</c:v>
                </c:pt>
                <c:pt idx="7">
                  <c:v>0.56000000000000005</c:v>
                </c:pt>
                <c:pt idx="8">
                  <c:v>0.66</c:v>
                </c:pt>
                <c:pt idx="9">
                  <c:v>0.7</c:v>
                </c:pt>
                <c:pt idx="10">
                  <c:v>0.8</c:v>
                </c:pt>
                <c:pt idx="11">
                  <c:v>0.77</c:v>
                </c:pt>
                <c:pt idx="12">
                  <c:v>0.7</c:v>
                </c:pt>
                <c:pt idx="13">
                  <c:v>0.95</c:v>
                </c:pt>
                <c:pt idx="14">
                  <c:v>0.73</c:v>
                </c:pt>
                <c:pt idx="15">
                  <c:v>0.75</c:v>
                </c:pt>
                <c:pt idx="16">
                  <c:v>0.69</c:v>
                </c:pt>
                <c:pt idx="17">
                  <c:v>0.67</c:v>
                </c:pt>
                <c:pt idx="18">
                  <c:v>0.56999999999999995</c:v>
                </c:pt>
                <c:pt idx="19">
                  <c:v>0.62</c:v>
                </c:pt>
                <c:pt idx="20">
                  <c:v>0.55000000000000004</c:v>
                </c:pt>
                <c:pt idx="21">
                  <c:v>0.61</c:v>
                </c:pt>
                <c:pt idx="22">
                  <c:v>0.56000000000000005</c:v>
                </c:pt>
                <c:pt idx="23">
                  <c:v>0.66</c:v>
                </c:pt>
                <c:pt idx="24">
                  <c:v>0.71</c:v>
                </c:pt>
                <c:pt idx="25">
                  <c:v>0.53</c:v>
                </c:pt>
                <c:pt idx="26">
                  <c:v>0.76</c:v>
                </c:pt>
                <c:pt idx="27">
                  <c:v>0.61</c:v>
                </c:pt>
                <c:pt idx="28">
                  <c:v>0.8</c:v>
                </c:pt>
                <c:pt idx="29">
                  <c:v>0.83</c:v>
                </c:pt>
                <c:pt idx="30">
                  <c:v>0.69</c:v>
                </c:pt>
                <c:pt idx="31">
                  <c:v>0.67</c:v>
                </c:pt>
                <c:pt idx="32">
                  <c:v>0.84</c:v>
                </c:pt>
                <c:pt idx="33">
                  <c:v>0.71</c:v>
                </c:pt>
                <c:pt idx="34">
                  <c:v>0.56999999999999995</c:v>
                </c:pt>
                <c:pt idx="35">
                  <c:v>0.61</c:v>
                </c:pt>
                <c:pt idx="36">
                  <c:v>0.97</c:v>
                </c:pt>
                <c:pt idx="37">
                  <c:v>0.66</c:v>
                </c:pt>
                <c:pt idx="38">
                  <c:v>0.69</c:v>
                </c:pt>
                <c:pt idx="39">
                  <c:v>0.66</c:v>
                </c:pt>
                <c:pt idx="40">
                  <c:v>0.6</c:v>
                </c:pt>
                <c:pt idx="41">
                  <c:v>0.6</c:v>
                </c:pt>
                <c:pt idx="42">
                  <c:v>0.63</c:v>
                </c:pt>
                <c:pt idx="43">
                  <c:v>0.56000000000000005</c:v>
                </c:pt>
                <c:pt idx="44">
                  <c:v>0.75</c:v>
                </c:pt>
                <c:pt idx="45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4A-40D6-A633-A5922E44C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229312"/>
        <c:axId val="1076255088"/>
      </c:scatterChart>
      <c:valAx>
        <c:axId val="168822931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Flow direction raster size (billions of 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6255088"/>
        <c:crossesAt val="1.0000000000000002E-2"/>
        <c:crossBetween val="midCat"/>
      </c:valAx>
      <c:valAx>
        <c:axId val="1076255088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Delienation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8229312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764507842167125"/>
          <c:y val="4.9004264749528362E-2"/>
          <c:w val="0.27235492157832875"/>
          <c:h val="0.478376701379838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" l="0" r="0" t="0" header="0" footer="0"/>
    <c:pageSetup paperSize="11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20956</xdr:colOff>
      <xdr:row>1</xdr:row>
      <xdr:rowOff>20954</xdr:rowOff>
    </xdr:from>
    <xdr:to>
      <xdr:col>12</xdr:col>
      <xdr:colOff>123826</xdr:colOff>
      <xdr:row>19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0556" y="211454"/>
          <a:ext cx="6808470" cy="3579496"/>
        </a:xfrm>
        <a:prstGeom prst="rect">
          <a:avLst/>
        </a:prstGeom>
        <a:solidFill>
          <a:schemeClr val="lt1"/>
        </a:solidFill>
        <a:ln w="38100" cap="flat" cmpd="dbl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228600" tIns="228600" rIns="228600" bIns="228600" rtlCol="0" anchor="t"/>
        <a:lstStyle/>
        <a:p>
          <a:r>
            <a:rPr lang="fr-FR" sz="1100" b="1"/>
            <a:t>About this workbook</a:t>
          </a:r>
          <a:r>
            <a:rPr lang="fr-FR" sz="1100"/>
            <a:t>
Matthew G. Heberger
2023-10-05</a:t>
          </a:r>
          <a:endParaRPr lang="fr-FR" sz="1100" baseline="0"/>
        </a:p>
        <a:p>
          <a:r>
            <a:rPr lang="fr-FR" sz="1100" baseline="0"/>
            <a:t>UPDATED 2026-07-05 with revised results using delineator v2.2.0</a:t>
          </a:r>
          <a:r>
            <a:rPr lang="fr-FR" sz="1100"/>
            <a:t>
Result</a:t>
          </a:r>
          <a:r>
            <a:rPr lang="fr-FR" sz="1100" baseline="0"/>
            <a:t>s and analysis of b</a:t>
          </a:r>
          <a:r>
            <a:rPr lang="fr-FR" sz="1100"/>
            <a:t>enchmarking</a:t>
          </a:r>
          <a:r>
            <a:rPr lang="fr-FR" sz="1100" baseline="0"/>
            <a:t> experiments for delineator, testing the speed of watershed delineation, with comparison to TauDEM and pysheds.</a:t>
          </a:r>
        </a:p>
        <a:p>
          <a:endParaRPr lang="fr-FR" sz="1100" baseline="0"/>
        </a:p>
        <a:p>
          <a:r>
            <a:rPr lang="fr-FR" sz="1100" b="1" baseline="0"/>
            <a:t>Experiment 3:</a:t>
          </a:r>
        </a:p>
        <a:p>
          <a:r>
            <a:rPr lang="fr-FR" sz="1100" baseline="0"/>
            <a:t>I delineated a sampling of watersheds of different sizes, to test the effect of watershed size on the run time. </a:t>
          </a:r>
        </a:p>
        <a:p>
          <a:endParaRPr lang="fr-FR" sz="1100" baseline="0"/>
        </a:p>
        <a:p>
          <a:r>
            <a:rPr lang="fr-FR" sz="1100" b="1"/>
            <a:t>Experiment 4:</a:t>
          </a:r>
        </a:p>
        <a:p>
          <a:r>
            <a:rPr lang="fr-FR" sz="1100"/>
            <a:t>I delineated</a:t>
          </a:r>
          <a:r>
            <a:rPr lang="fr-FR" sz="1100" baseline="0"/>
            <a:t> watersheds with around 10 million pixels over each of the MERIT-Basins Pfafstetter Level 2 "megabasins." This was to test the effect of raster file size on the run time.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108699</xdr:colOff>
      <xdr:row>9</xdr:row>
      <xdr:rowOff>113739</xdr:rowOff>
    </xdr:from>
    <xdr:to>
      <xdr:col>37</xdr:col>
      <xdr:colOff>214032</xdr:colOff>
      <xdr:row>33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333375</xdr:colOff>
      <xdr:row>8</xdr:row>
      <xdr:rowOff>17928</xdr:rowOff>
    </xdr:from>
    <xdr:to>
      <xdr:col>20</xdr:col>
      <xdr:colOff>89648</xdr:colOff>
      <xdr:row>27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14007</xdr:colOff>
      <xdr:row>38</xdr:row>
      <xdr:rowOff>80123</xdr:rowOff>
    </xdr:from>
    <xdr:to>
      <xdr:col>37</xdr:col>
      <xdr:colOff>155760</xdr:colOff>
      <xdr:row>64</xdr:row>
      <xdr:rowOff>12887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ABD017-EE3A-48E1-ADAF-8CAB23794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87313</xdr:colOff>
      <xdr:row>8</xdr:row>
      <xdr:rowOff>15874</xdr:rowOff>
    </xdr:from>
    <xdr:to>
      <xdr:col>27</xdr:col>
      <xdr:colOff>357187</xdr:colOff>
      <xdr:row>27</xdr:row>
      <xdr:rowOff>134938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B69C16-425F-49AB-A8AE-C175A30E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25399</xdr:colOff>
      <xdr:row>4</xdr:row>
      <xdr:rowOff>21272</xdr:rowOff>
    </xdr:from>
    <xdr:to>
      <xdr:col>22</xdr:col>
      <xdr:colOff>236294</xdr:colOff>
      <xdr:row>20</xdr:row>
      <xdr:rowOff>69215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</xdr:row>
      <xdr:rowOff>0</xdr:rowOff>
    </xdr:from>
    <xdr:to>
      <xdr:col>12</xdr:col>
      <xdr:colOff>47625</xdr:colOff>
      <xdr:row>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B3729A-156D-F0CD-2388-82A66C65F26D}"/>
            </a:ext>
          </a:extLst>
        </xdr:cNvPr>
        <xdr:cNvSpPr txBox="1"/>
      </xdr:nvSpPr>
      <xdr:spPr>
        <a:xfrm>
          <a:off x="5267325" y="476250"/>
          <a:ext cx="3790950" cy="1666875"/>
        </a:xfrm>
        <a:prstGeom prst="rect">
          <a:avLst/>
        </a:prstGeom>
        <a:solidFill>
          <a:schemeClr val="lt1"/>
        </a:solidFill>
        <a:ln w="38100" cap="flat" cmpd="dbl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228600" tIns="228600" rIns="228600" bIns="228600" rtlCol="0" anchor="t"/>
        <a:lstStyle/>
        <a:p>
          <a:r>
            <a:rPr lang="fr-FR" sz="1100"/>
            <a:t>I got this</a:t>
          </a:r>
          <a:r>
            <a:rPr lang="fr-FR" sz="1100" baseline="0"/>
            <a:t> data with a short Python script: </a:t>
          </a:r>
        </a:p>
        <a:p>
          <a:endParaRPr lang="fr-FR" sz="1100" baseline="0"/>
        </a:p>
        <a:p>
          <a:r>
            <a:rPr lang="fr-FR" sz="1100" baseline="0"/>
            <a:t>delineator/data_mgmt/0_raster/get_fdir_metadata.py </a:t>
          </a:r>
          <a:r>
            <a:rPr lang="fr-FR" sz="1100"/>
            <a:t>
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Heberger" refreshedDate="46206.307903472225" createdVersion="8" refreshedVersion="8" minRefreshableVersion="3" recordCount="82" xr:uid="{F3B960FD-3745-4DD1-A99C-B852C8BA57D8}">
  <cacheSource type="worksheet">
    <worksheetSource ref="A3:M85" sheet="Expt 3 Results"/>
  </cacheSource>
  <cacheFields count="13">
    <cacheField name="megabasin" numFmtId="0">
      <sharedItems containsSemiMixedTypes="0" containsString="0" containsNumber="1" containsInteger="1" minValue="23" maxValue="62"/>
    </cacheField>
    <cacheField name="id" numFmtId="0">
      <sharedItems containsSemiMixedTypes="0" containsString="0" containsNumber="1" containsInteger="1" minValue="9" maxValue="6935540"/>
    </cacheField>
    <cacheField name="lat" numFmtId="0">
      <sharedItems containsSemiMixedTypes="0" containsString="0" containsNumber="1" minValue="-15.9222" maxValue="66.198089999999993"/>
    </cacheField>
    <cacheField name="lng" numFmtId="0">
      <sharedItems containsSemiMixedTypes="0" containsString="0" containsNumber="1" minValue="-71.482200000000006" maxValue="16.540400000000002"/>
    </cacheField>
    <cacheField name="name" numFmtId="0">
      <sharedItems/>
    </cacheField>
    <cacheField name="area_reported" numFmtId="3">
      <sharedItems containsSemiMixedTypes="0" containsString="0" containsNumber="1" containsInteger="1" minValue="100" maxValue="6000000" count="82">
        <n v="100"/>
        <n v="182"/>
        <n v="270"/>
        <n v="370"/>
        <n v="407"/>
        <n v="506"/>
        <n v="616"/>
        <n v="785"/>
        <n v="826"/>
        <n v="946"/>
        <n v="1073"/>
        <n v="1202"/>
        <n v="1257"/>
        <n v="1825"/>
        <n v="2218"/>
        <n v="2914"/>
        <n v="4078"/>
        <n v="5560"/>
        <n v="6443"/>
        <n v="8286"/>
        <n v="10120"/>
        <n v="17618"/>
        <n v="28980"/>
        <n v="34550"/>
        <n v="48561"/>
        <n v="55211"/>
        <n v="68827"/>
        <n v="70093"/>
        <n v="97780"/>
        <n v="139549"/>
        <n v="102"/>
        <n v="115"/>
        <n v="193"/>
        <n v="226"/>
        <n v="266"/>
        <n v="396"/>
        <n v="419"/>
        <n v="458"/>
        <n v="507"/>
        <n v="517"/>
        <n v="621"/>
        <n v="640"/>
        <n v="844"/>
        <n v="1102"/>
        <n v="1574"/>
        <n v="1699"/>
        <n v="2023"/>
        <n v="2163"/>
        <n v="2819"/>
        <n v="5097"/>
        <n v="5662"/>
        <n v="7314"/>
        <n v="231"/>
        <n v="989"/>
        <n v="1617"/>
        <n v="2041"/>
        <n v="4360"/>
        <n v="5050"/>
        <n v="8039"/>
        <n v="9300"/>
        <n v="10538"/>
        <n v="13658"/>
        <n v="18500"/>
        <n v="24300"/>
        <n v="35880"/>
        <n v="43030"/>
        <n v="59400"/>
        <n v="60058"/>
        <n v="193923"/>
        <n v="194462"/>
        <n v="243841"/>
        <n v="320290"/>
        <n v="333000"/>
        <n v="446203"/>
        <n v="609000"/>
        <n v="742300"/>
        <n v="1090000"/>
        <n v="1769000"/>
        <n v="2147736"/>
        <n v="2583079"/>
        <n v="4680000"/>
        <n v="6000000"/>
      </sharedItems>
    </cacheField>
    <cacheField name="lat_snap" numFmtId="0">
      <sharedItems containsSemiMixedTypes="0" containsString="0" containsNumber="1" minValue="-15.922000000000001" maxValue="66.197000000000003"/>
    </cacheField>
    <cacheField name="lng_snap" numFmtId="0">
      <sharedItems containsSemiMixedTypes="0" containsString="0" containsNumber="1" minValue="-71.481999999999999" maxValue="16.541"/>
    </cacheField>
    <cacheField name="snap_dist" numFmtId="0">
      <sharedItems containsSemiMixedTypes="0" containsString="0" containsNumber="1" minValue="8.4" maxValue="9900"/>
    </cacheField>
    <cacheField name="area_calc" numFmtId="165">
      <sharedItems containsSemiMixedTypes="0" containsString="0" containsNumber="1" minValue="99.2" maxValue="5904942.9000000004"/>
    </cacheField>
    <cacheField name="time delineator " numFmtId="0">
      <sharedItems containsSemiMixedTypes="0" containsString="0" containsNumber="1" minValue="0.14000000000000001" maxValue="12.12"/>
    </cacheField>
    <cacheField name="time pysheds" numFmtId="164">
      <sharedItems containsSemiMixedTypes="0" containsString="0" containsNumber="1" minValue="3.51" maxValue="116.488173484802"/>
    </cacheField>
    <cacheField name="time TauDEM" numFmtId="164">
      <sharedItems containsSemiMixedTypes="0" containsString="0" containsNumber="1" minValue="10.6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3"/>
    <n v="6604635"/>
    <n v="56.359727810000003"/>
    <n v="-4.0014424980000003"/>
    <s v="Ruchill, Water of Cultybraggan"/>
    <x v="0"/>
    <n v="56.359000000000002"/>
    <n v="-4.0019999999999998"/>
    <n v="64"/>
    <n v="100.9"/>
    <n v="0.14000000000000001"/>
    <n v="19.7842805385589"/>
    <n v="43.5"/>
  </r>
  <r>
    <n v="23"/>
    <n v="6140700"/>
    <n v="50.065100000000001"/>
    <n v="16.540400000000002"/>
    <s v="Divoka Orlice Nekor"/>
    <x v="1"/>
    <n v="50.064999999999998"/>
    <n v="16.541"/>
    <n v="33"/>
    <n v="182.7"/>
    <n v="0.34"/>
    <n v="14.4291613101959"/>
    <n v="53"/>
  </r>
  <r>
    <n v="23"/>
    <n v="6125620"/>
    <n v="44.398156999999998"/>
    <n v="2.8454709999999999"/>
    <s v="Aveyron Palmas (Pont de Manson)"/>
    <x v="2"/>
    <n v="44.398000000000003"/>
    <n v="2.847"/>
    <n v="97"/>
    <n v="296.2"/>
    <n v="0.14000000000000001"/>
    <n v="14.5863382816314"/>
    <n v="52.4"/>
  </r>
  <r>
    <n v="23"/>
    <n v="6606900"/>
    <n v="52.382870920000002"/>
    <n v="1.2739110739999999"/>
    <s v="Waveney, River Needham Mill"/>
    <x v="3"/>
    <n v="52.383000000000003"/>
    <n v="1.274"/>
    <n v="54"/>
    <n v="375.3"/>
    <n v="0.18"/>
    <n v="13.8914506435394"/>
    <n v="48.5"/>
  </r>
  <r>
    <n v="23"/>
    <n v="6136520"/>
    <n v="48.981896999999996"/>
    <n v="7.0107749999999998"/>
    <s v="Albe Sarralbe (Rech)"/>
    <x v="4"/>
    <n v="48.982999999999997"/>
    <n v="7.0110000000000001"/>
    <n v="67"/>
    <n v="404.4"/>
    <n v="0.17"/>
    <n v="13.941042661666801"/>
    <n v="46.6"/>
  </r>
  <r>
    <n v="23"/>
    <n v="6335675"/>
    <n v="48.959296999999999"/>
    <n v="9.2612059999999996"/>
    <s v="Murr Murr"/>
    <x v="5"/>
    <n v="48.959000000000003"/>
    <n v="9.2609999999999992"/>
    <n v="31"/>
    <n v="504.7"/>
    <n v="0.16"/>
    <n v="13.6777238845825"/>
    <n v="47.9"/>
  </r>
  <r>
    <n v="23"/>
    <n v="6935540"/>
    <n v="46.974600000000002"/>
    <n v="9.6120999999999999"/>
    <s v="Landquart Felsenbach"/>
    <x v="6"/>
    <n v="46.973999999999997"/>
    <n v="9.6120000000000001"/>
    <n v="57"/>
    <n v="617.9"/>
    <n v="0.16"/>
    <n v="13.5354309082031"/>
    <n v="44.7"/>
  </r>
  <r>
    <n v="23"/>
    <n v="6220162"/>
    <n v="50.762011000000001"/>
    <n v="3.8673359999999999"/>
    <s v="Dendre Overboerlare"/>
    <x v="7"/>
    <n v="50.762"/>
    <n v="3.867"/>
    <n v="40"/>
    <n v="798"/>
    <n v="0.2"/>
    <n v="13.3648936748504"/>
    <n v="48.7"/>
  </r>
  <r>
    <n v="23"/>
    <n v="6607150"/>
    <n v="50.995468750000001"/>
    <n v="-3.9850413059999998"/>
    <s v="Taw, River Umberleigh"/>
    <x v="8"/>
    <n v="50.994999999999997"/>
    <n v="-3.9849999999999999"/>
    <n v="52"/>
    <n v="832.5"/>
    <n v="0.24"/>
    <n v="14.07"/>
    <n v="42.8"/>
  </r>
  <r>
    <n v="23"/>
    <n v="6118230"/>
    <n v="49.863055000000003"/>
    <n v="1.1848460000000001"/>
    <s v="Bethune Saint-Aubin-Le-Cauf"/>
    <x v="9"/>
    <n v="49.863999999999997"/>
    <n v="1.1850000000000001"/>
    <n v="120"/>
    <n v="306.5"/>
    <n v="0.3"/>
    <n v="13.236284255981401"/>
    <n v="49.6"/>
  </r>
  <r>
    <n v="23"/>
    <n v="6607500"/>
    <n v="50.763897450000002"/>
    <n v="-1.842093942"/>
    <s v="Stour, River Throop Mill"/>
    <x v="10"/>
    <n v="50.762999999999998"/>
    <n v="-1.8420000000000001"/>
    <n v="70"/>
    <n v="1071.5999999999999"/>
    <n v="0.21"/>
    <n v="13.6608574390411"/>
    <n v="47.4"/>
  </r>
  <r>
    <n v="23"/>
    <n v="6337504"/>
    <n v="51.155678999999999"/>
    <n v="8.8981820000000003"/>
    <s v="Eder Schmittlotheim"/>
    <x v="11"/>
    <n v="51.155000000000001"/>
    <n v="8.8979999999999997"/>
    <n v="76"/>
    <n v="1204.5999999999999"/>
    <n v="0.24"/>
    <n v="14.87"/>
    <n v="39.299999999999997"/>
  </r>
  <r>
    <n v="23"/>
    <n v="6503501"/>
    <n v="52.144604000000001"/>
    <n v="-8.5162700000000005"/>
    <s v="Blackwater, River Killavullen"/>
    <x v="12"/>
    <n v="52.148000000000003"/>
    <n v="-8.5180000000000007"/>
    <n v="440"/>
    <n v="1251.0999999999999"/>
    <n v="0.26"/>
    <n v="14.192711353302"/>
    <n v="48.6"/>
  </r>
  <r>
    <n v="23"/>
    <n v="6335681"/>
    <n v="49.268549"/>
    <n v="9.2199410000000004"/>
    <s v="Jagst Untergriesheim"/>
    <x v="13"/>
    <n v="49.268999999999998"/>
    <n v="9.2200000000000006"/>
    <n v="69"/>
    <n v="1824"/>
    <n v="0.24"/>
    <n v="14.022370338439902"/>
    <n v="46.7"/>
  </r>
  <r>
    <n v="23"/>
    <n v="6338161"/>
    <n v="52.682623999999997"/>
    <n v="7.602417"/>
    <s v="Hase Herzlake"/>
    <x v="14"/>
    <n v="52.682000000000002"/>
    <n v="7.6020000000000003"/>
    <n v="15"/>
    <n v="2255.5"/>
    <n v="0.2"/>
    <n v="13.786032676696699"/>
    <n v="48.2"/>
  </r>
  <r>
    <n v="23"/>
    <n v="6140300"/>
    <n v="49.316499999999998"/>
    <n v="14.1435"/>
    <s v="Otava Pisek"/>
    <x v="15"/>
    <n v="49.316000000000003"/>
    <n v="14.144"/>
    <n v="89"/>
    <n v="2859.5"/>
    <n v="0.21"/>
    <n v="13.536462306976301"/>
    <n v="47"/>
  </r>
  <r>
    <n v="23"/>
    <n v="6335030"/>
    <n v="51.399749999999997"/>
    <n v="7.1610339999999999"/>
    <s v="Ruhr Hattingen"/>
    <x v="16"/>
    <n v="51.399000000000001"/>
    <n v="7.1619999999999999"/>
    <n v="78"/>
    <n v="4123"/>
    <n v="0.28000000000000003"/>
    <n v="13.894389390945401"/>
    <n v="45.8"/>
  </r>
  <r>
    <n v="23"/>
    <n v="6118800"/>
    <n v="50.1"/>
    <n v="1.83"/>
    <s v="Somme R. at Abbeville, FR"/>
    <x v="17"/>
    <n v="50.098999999999997"/>
    <n v="1.831"/>
    <n v="110"/>
    <n v="5679.7"/>
    <n v="0.27"/>
    <n v="16.12"/>
    <n v="42.1"/>
  </r>
  <r>
    <n v="23"/>
    <n v="6337510"/>
    <n v="52.683"/>
    <n v="9.6039999999999992"/>
    <s v="Leine Schwarmstedt"/>
    <x v="18"/>
    <n v="52.682000000000002"/>
    <n v="9.6020000000000003"/>
    <n v="120"/>
    <n v="6539"/>
    <n v="0.36"/>
    <n v="14.038529157638502"/>
    <n v="43.1"/>
  </r>
  <r>
    <n v="23"/>
    <n v="6140250"/>
    <n v="49.958599999999997"/>
    <n v="14.087400000000001"/>
    <s v="Berounka Beroun"/>
    <x v="19"/>
    <n v="49.959000000000003"/>
    <n v="14.087999999999999"/>
    <n v="92"/>
    <n v="8283.1"/>
    <n v="0.31"/>
    <n v="13.691435098648"/>
    <n v="42.5"/>
  </r>
  <r>
    <n v="23"/>
    <n v="6221102"/>
    <n v="50.092132999999997"/>
    <n v="4.8065239999999996"/>
    <s v="Maas Chooz"/>
    <x v="20"/>
    <n v="50.091999999999999"/>
    <n v="4.8070000000000004"/>
    <n v="53"/>
    <n v="10181.299999999999"/>
    <n v="0.32"/>
    <n v="13.912417173385601"/>
    <n v="41.9"/>
  </r>
  <r>
    <n v="23"/>
    <n v="6337100"/>
    <n v="52.176000000000002"/>
    <n v="8.8620000000000001"/>
    <s v="Weser Vlotho"/>
    <x v="21"/>
    <n v="52.177"/>
    <n v="8.8629999999999995"/>
    <n v="120"/>
    <n v="17619.599999999999"/>
    <n v="0.43"/>
    <n v="14.5399570465087"/>
    <n v="43"/>
  </r>
  <r>
    <n v="23"/>
    <n v="6421501"/>
    <n v="51.82"/>
    <n v="5.54"/>
    <s v="Maas Megen"/>
    <x v="22"/>
    <n v="51.817"/>
    <n v="5.5410000000000004"/>
    <n v="380"/>
    <n v="28922.1"/>
    <n v="0.53"/>
    <n v="14.958040237426699"/>
    <n v="42.8"/>
  </r>
  <r>
    <n v="23"/>
    <n v="6335400"/>
    <n v="47.561464000000001"/>
    <n v="7.8003260000000001"/>
    <s v="Rhine River Rheinfelden"/>
    <x v="23"/>
    <n v="47.561999999999998"/>
    <n v="7.8"/>
    <n v="120"/>
    <n v="34382.300000000003"/>
    <n v="0.51"/>
    <n v="14.3483209609985"/>
    <n v="42.5"/>
  </r>
  <r>
    <n v="23"/>
    <n v="6140401"/>
    <n v="50.6539"/>
    <n v="14.0425"/>
    <s v="Elbe River Usti Nad Labem"/>
    <x v="24"/>
    <n v="50.652999999999999"/>
    <n v="14.044"/>
    <n v="130"/>
    <n v="48516.800000000003"/>
    <n v="0.57999999999999996"/>
    <n v="15.2705845832824"/>
    <n v="42.9"/>
  </r>
  <r>
    <n v="23"/>
    <n v="6340190"/>
    <n v="51.558968"/>
    <n v="13.010574999999999"/>
    <s v="Elbe River Torgau"/>
    <x v="25"/>
    <n v="51.558"/>
    <n v="13.010999999999999"/>
    <n v="73"/>
    <n v="55426.8"/>
    <n v="0.71"/>
    <n v="15.908783912658601"/>
    <n v="45.9"/>
  </r>
  <r>
    <n v="23"/>
    <n v="6335180"/>
    <n v="49.641120000000001"/>
    <n v="8.3760189999999994"/>
    <s v="Rhine River Worms"/>
    <x v="26"/>
    <n v="49.640999999999998"/>
    <n v="8.3759999999999994"/>
    <n v="35"/>
    <n v="68917.2"/>
    <n v="0.71"/>
    <n v="15.978486061096101"/>
    <n v="44.4"/>
  </r>
  <r>
    <n v="23"/>
    <n v="6340170"/>
    <n v="51.863160000000001"/>
    <n v="12.059195000000001"/>
    <s v="Elbe River Aken"/>
    <x v="27"/>
    <n v="51.86"/>
    <n v="12.061999999999999"/>
    <n v="390"/>
    <n v="68993.100000000006"/>
    <n v="0.63"/>
    <n v="15.8773033618927"/>
    <n v="43.1"/>
  </r>
  <r>
    <n v="23"/>
    <n v="6340160"/>
    <n v="52.546602999999998"/>
    <n v="11.978396"/>
    <s v="Elbe River Tangermuende"/>
    <x v="28"/>
    <n v="52.545000000000002"/>
    <n v="11.981999999999999"/>
    <n v="330"/>
    <n v="97728.9"/>
    <n v="0.88"/>
    <n v="19.5413818359375"/>
    <n v="43.8"/>
  </r>
  <r>
    <n v="23"/>
    <n v="6335070"/>
    <n v="50.443385999999997"/>
    <n v="7.3920500000000002"/>
    <s v="Rhine River Andernach"/>
    <x v="29"/>
    <n v="50.444000000000003"/>
    <n v="7.3929999999999998"/>
    <n v="130"/>
    <n v="139703.20000000001"/>
    <n v="0.97"/>
    <n v="19.9518704414367"/>
    <n v="44.9"/>
  </r>
  <r>
    <n v="27"/>
    <n v="6401310"/>
    <n v="65.588759999999994"/>
    <n v="-23.127189999999999"/>
    <s v="Vatnsdalsa River at Eidhi"/>
    <x v="30"/>
    <n v="65.588999999999999"/>
    <n v="-23.126999999999999"/>
    <n v="48"/>
    <n v="99.2"/>
    <n v="0.16"/>
    <n v="3.53"/>
    <n v="13.7"/>
  </r>
  <r>
    <n v="27"/>
    <n v="6401160"/>
    <n v="64.752809999999997"/>
    <n v="-14.486050000000001"/>
    <s v="Fossa River at Eyjolfsstadir"/>
    <x v="31"/>
    <n v="64.751999999999995"/>
    <n v="-14.486000000000001"/>
    <n v="36"/>
    <n v="106.5"/>
    <n v="0.19"/>
    <n v="3.61"/>
    <n v="10.6"/>
  </r>
  <r>
    <n v="27"/>
    <n v="6401300"/>
    <n v="66.069760000000002"/>
    <n v="-21.752980000000001"/>
    <s v="Hvala River at Op"/>
    <x v="32"/>
    <n v="66.069000000000003"/>
    <n v="-21.751999999999999"/>
    <n v="89"/>
    <n v="207.3"/>
    <n v="0.19"/>
    <n v="3.63"/>
    <n v="14.4"/>
  </r>
  <r>
    <n v="27"/>
    <n v="6401500"/>
    <n v="63.950899999999997"/>
    <n v="-17.636089999999999"/>
    <s v="Djupa River at Djupa Bru"/>
    <x v="33"/>
    <n v="63.951999999999998"/>
    <n v="-17.637"/>
    <n v="90"/>
    <n v="641.4"/>
    <n v="0.28999999999999998"/>
    <n v="3.58"/>
    <n v="11.9"/>
  </r>
  <r>
    <n v="27"/>
    <n v="6401460"/>
    <n v="66.198089999999993"/>
    <n v="-15.59652"/>
    <s v="Sanda River at Flogubru I"/>
    <x v="34"/>
    <n v="66.197000000000003"/>
    <n v="-15.596"/>
    <n v="73"/>
    <n v="267.10000000000002"/>
    <n v="0.22"/>
    <n v="3.58"/>
    <n v="11.7"/>
  </r>
  <r>
    <n v="27"/>
    <n v="6401601"/>
    <n v="65.494590000000002"/>
    <n v="-19.384"/>
    <s v="Svarta River at Reykjafoss"/>
    <x v="35"/>
    <n v="65.494"/>
    <n v="-19.382999999999999"/>
    <n v="56"/>
    <n v="388.6"/>
    <n v="0.21"/>
    <n v="3.6"/>
    <n v="12.4"/>
  </r>
  <r>
    <n v="27"/>
    <n v="6401140"/>
    <n v="63.797229999999999"/>
    <n v="-20.112839999999998"/>
    <s v="Eystri-Ranga River at Tungufoss"/>
    <x v="36"/>
    <n v="63.798000000000002"/>
    <n v="-20.113"/>
    <n v="34"/>
    <n v="510.2"/>
    <n v="0.21"/>
    <n v="3.64"/>
    <n v="10.6"/>
  </r>
  <r>
    <n v="27"/>
    <n v="6401250"/>
    <n v="65.301839999999999"/>
    <n v="-20.106680000000001"/>
    <s v="Vatnsdalsa River at Forsaeludalur"/>
    <x v="37"/>
    <n v="65.302000000000007"/>
    <n v="-20.106999999999999"/>
    <n v="19"/>
    <n v="465.8"/>
    <n v="0.21"/>
    <n v="3.58"/>
    <n v="13.6"/>
  </r>
  <r>
    <n v="27"/>
    <n v="6401070"/>
    <n v="64.710719999999995"/>
    <n v="-21.603370000000002"/>
    <s v="Nordhura River at Stekkur"/>
    <x v="38"/>
    <n v="64.709999999999994"/>
    <n v="-21.600999999999999"/>
    <n v="150"/>
    <n v="493"/>
    <n v="0.2"/>
    <n v="4.79"/>
    <n v="11.1"/>
  </r>
  <r>
    <n v="27"/>
    <n v="6401440"/>
    <n v="63.780479999999997"/>
    <n v="-19.417100000000001"/>
    <s v="Markarfljot River at Emstrur"/>
    <x v="39"/>
    <n v="63.780999999999999"/>
    <n v="-19.416"/>
    <n v="74"/>
    <n v="574.5"/>
    <n v="0.21"/>
    <n v="3.64"/>
    <n v="11.5"/>
  </r>
  <r>
    <n v="27"/>
    <n v="6401150"/>
    <n v="63.863239999999998"/>
    <n v="-20.34065"/>
    <s v="Ytri-Ranga River at Arbaejarfoss"/>
    <x v="40"/>
    <n v="63.863"/>
    <n v="-20.34"/>
    <n v="34"/>
    <n v="563.1"/>
    <n v="0.22"/>
    <n v="3.55"/>
    <n v="10.7"/>
  </r>
  <r>
    <n v="27"/>
    <n v="6401111"/>
    <n v="64.1601"/>
    <n v="-20.55913"/>
    <s v="Bruara River at Dynjandi"/>
    <x v="41"/>
    <n v="64.16"/>
    <n v="-20.559000000000001"/>
    <n v="11"/>
    <n v="704.1"/>
    <n v="0.24"/>
    <n v="3.61"/>
    <n v="11.1"/>
  </r>
  <r>
    <n v="27"/>
    <n v="6401200"/>
    <n v="65.329700000000003"/>
    <n v="-19.085249999999998"/>
    <s v="Vestri-Jokulsa River at Godhdala Bru"/>
    <x v="42"/>
    <n v="65.328999999999994"/>
    <n v="-19.085000000000001"/>
    <n v="61"/>
    <n v="871.4"/>
    <n v="0.25"/>
    <n v="3.64"/>
    <n v="11.5"/>
  </r>
  <r>
    <n v="27"/>
    <n v="6401400"/>
    <n v="65.850700000000003"/>
    <n v="-17.89667"/>
    <s v="Fnjoska River at Arbugsa"/>
    <x v="43"/>
    <n v="65.849999999999994"/>
    <n v="-17.896999999999998"/>
    <n v="78"/>
    <n v="1126.9000000000001"/>
    <n v="0.22"/>
    <n v="3.57"/>
    <n v="11.6"/>
  </r>
  <r>
    <n v="27"/>
    <n v="6401080"/>
    <n v="64.69229"/>
    <n v="-21.41046"/>
    <s v="Hvita River at Kljafoss"/>
    <x v="44"/>
    <n v="64.691999999999993"/>
    <n v="-21.408999999999999"/>
    <n v="66"/>
    <n v="1718.7"/>
    <n v="0.26"/>
    <n v="3.62"/>
    <n v="10.8"/>
  </r>
  <r>
    <n v="27"/>
    <n v="6401240"/>
    <n v="65.49006"/>
    <n v="-20.112839999999998"/>
    <s v="Blanda River at Langamyri"/>
    <x v="45"/>
    <n v="65.524000000000001"/>
    <n v="-20.093"/>
    <n v="3900"/>
    <n v="126.4"/>
    <n v="0.18"/>
    <n v="3.51"/>
    <n v="11.8"/>
  </r>
  <r>
    <n v="27"/>
    <n v="6401703"/>
    <n v="65.060739999999996"/>
    <n v="-16.211870000000001"/>
    <s v="Jokulsa River at  Upptyppingar"/>
    <x v="46"/>
    <n v="65.06"/>
    <n v="-16.212"/>
    <n v="83"/>
    <n v="1771.1"/>
    <n v="0.28999999999999998"/>
    <n v="3.58"/>
    <n v="12.7"/>
  </r>
  <r>
    <n v="27"/>
    <n v="6401610"/>
    <n v="65.370760000000004"/>
    <n v="-17.346910000000001"/>
    <s v="Skjalfandafljot River at Aldeyjarfoss"/>
    <x v="47"/>
    <n v="65.37"/>
    <n v="-17.347999999999999"/>
    <n v="89"/>
    <n v="1925.3"/>
    <n v="0.33"/>
    <n v="3.61"/>
    <n v="13.9"/>
  </r>
  <r>
    <n v="27"/>
    <n v="6401800"/>
    <n v="65.502529999999993"/>
    <n v="-14.36201"/>
    <s v="Lagarfljot River at Lagarfoss"/>
    <x v="48"/>
    <n v="65.501999999999995"/>
    <n v="-14.362"/>
    <n v="16"/>
    <n v="2830.4"/>
    <n v="0.42"/>
    <n v="3.62"/>
    <n v="13.3"/>
  </r>
  <r>
    <n v="27"/>
    <n v="6401702"/>
    <n v="65.6233"/>
    <n v="-16.189330000000002"/>
    <s v="Jokulsa River at Grimsstadir"/>
    <x v="49"/>
    <n v="65.623000000000005"/>
    <n v="-16.189"/>
    <n v="8.4"/>
    <n v="5378"/>
    <n v="0.32"/>
    <n v="3.73"/>
    <n v="14"/>
  </r>
  <r>
    <n v="27"/>
    <n v="6401090"/>
    <n v="63.937959999999997"/>
    <n v="-21.00666"/>
    <s v="Olfusa River at Selfoss"/>
    <x v="50"/>
    <n v="63.938000000000002"/>
    <n v="-21.006"/>
    <n v="58"/>
    <n v="5754.5"/>
    <n v="0.32"/>
    <n v="3.74"/>
    <n v="11.1"/>
  </r>
  <r>
    <n v="27"/>
    <n v="6401120"/>
    <n v="63.933619999999998"/>
    <n v="-20.631350000000001"/>
    <s v="Thjorsa River at Krokur"/>
    <x v="51"/>
    <n v="63.933999999999997"/>
    <n v="-20.63"/>
    <n v="90"/>
    <n v="7276.1"/>
    <n v="0.44"/>
    <n v="3.76"/>
    <n v="10.8"/>
  </r>
  <r>
    <n v="62"/>
    <n v="3649511"/>
    <n v="-15.9222"/>
    <n v="-50.171700000000001"/>
    <s v="Vermelho, Rio @ Balneario Cachoeira Grande"/>
    <x v="52"/>
    <n v="-15.922000000000001"/>
    <n v="-50.171999999999997"/>
    <n v="33"/>
    <n v="228.5"/>
    <n v="0.15"/>
    <n v="27.27"/>
    <n v="49.3"/>
  </r>
  <r>
    <n v="62"/>
    <n v="3627360"/>
    <n v="-9.8869000000000007"/>
    <n v="-62.984699999999997"/>
    <s v="Branco, Rio @ Fazenda Rio Branco"/>
    <x v="53"/>
    <n v="-9.8870000000000005"/>
    <n v="-62.984999999999999"/>
    <n v="74"/>
    <n v="992.9"/>
    <n v="0.26"/>
    <n v="31.84"/>
    <n v="51.3"/>
  </r>
  <r>
    <n v="62"/>
    <n v="3618121"/>
    <n v="0.24940000000000001"/>
    <n v="-69.784999999999997"/>
    <s v="Tiquie, Rio @ Pari Cachoeira"/>
    <x v="54"/>
    <n v="0.248"/>
    <n v="-69.784999999999997"/>
    <n v="120"/>
    <n v="1968.7"/>
    <n v="0.33"/>
    <n v="23.41"/>
    <n v="65.099999999999994"/>
  </r>
  <r>
    <n v="62"/>
    <n v="3624320"/>
    <n v="-7.9511000000000003"/>
    <n v="-71.482200000000006"/>
    <s v="Gregorio, Rio @ Fazenda Paranacre"/>
    <x v="55"/>
    <n v="-7.952"/>
    <n v="-71.481999999999999"/>
    <n v="86"/>
    <n v="2075.4"/>
    <n v="0.33"/>
    <n v="25.97"/>
    <n v="72.099999999999994"/>
  </r>
  <r>
    <n v="62"/>
    <n v="3627451"/>
    <n v="-11.748900000000001"/>
    <n v="-60.867800000000003"/>
    <s v="Comemoracao, Rio @ Fazenda Flor Do Campo"/>
    <x v="56"/>
    <n v="-11.750999999999999"/>
    <n v="-60.868000000000002"/>
    <n v="220"/>
    <n v="4338.3"/>
    <n v="0.28000000000000003"/>
    <n v="29.58"/>
    <n v="59.8"/>
  </r>
  <r>
    <n v="62"/>
    <n v="3617800"/>
    <n v="-15.2"/>
    <n v="-59.33"/>
    <s v="Guapore, Rio @ Pontes E Lacerda"/>
    <x v="57"/>
    <n v="-15.215999999999999"/>
    <n v="-59.329000000000001"/>
    <n v="1800"/>
    <n v="2391.4"/>
    <n v="0.26"/>
    <n v="26.26"/>
    <n v="52.7"/>
  </r>
  <r>
    <n v="62"/>
    <n v="3649630"/>
    <n v="-12.883599999999999"/>
    <n v="-50.8322"/>
    <s v="Cristalino, Rio @ Jusante Barra Do Forquilha"/>
    <x v="58"/>
    <n v="-12.884"/>
    <n v="-50.831000000000003"/>
    <n v="160"/>
    <n v="10838.9"/>
    <n v="0.35"/>
    <n v="24.4"/>
    <n v="57.3"/>
  </r>
  <r>
    <n v="62"/>
    <n v="3618731"/>
    <n v="2.7317"/>
    <n v="-62.017200000000003"/>
    <s v="Mucajai, Rio @ PÃ£â€“Sto Funai"/>
    <x v="59"/>
    <n v="2.7309999999999999"/>
    <n v="-62.017000000000003"/>
    <n v="110"/>
    <n v="9626"/>
    <n v="0.36"/>
    <n v="25.44"/>
    <n v="63.5"/>
  </r>
  <r>
    <n v="62"/>
    <n v="3649012"/>
    <n v="-15.27528"/>
    <n v="-49.551940000000002"/>
    <s v="Almas, Rio Das @ Ceres (Posto Biquinha)"/>
    <x v="60"/>
    <n v="-15.276"/>
    <n v="-49.552999999999997"/>
    <n v="160"/>
    <n v="10601.9"/>
    <n v="0.3"/>
    <n v="23.45"/>
    <n v="54.9"/>
  </r>
  <r>
    <n v="62"/>
    <n v="3618730"/>
    <n v="2.8708"/>
    <n v="-61.440600000000003"/>
    <s v="Mucajai, Rio @ Fe E Esperance"/>
    <x v="61"/>
    <n v="2.871"/>
    <n v="-61.44"/>
    <n v="67"/>
    <n v="12459"/>
    <n v="0.42"/>
    <n v="24.68"/>
    <n v="63.6"/>
  </r>
  <r>
    <n v="62"/>
    <n v="3649321"/>
    <n v="-9.9633000000000003"/>
    <n v="-47.674700000000001"/>
    <s v="Sono, Rio Do @ Novo Acordo"/>
    <x v="62"/>
    <n v="-9.9619999999999997"/>
    <n v="-47.673000000000002"/>
    <n v="170"/>
    <n v="18050.5"/>
    <n v="0.4"/>
    <n v="25.03"/>
    <n v="58.8"/>
  </r>
  <r>
    <n v="62"/>
    <n v="3627550"/>
    <n v="-9.8169000000000004"/>
    <n v="-60.691899999999997"/>
    <s v="Roosevelt, Rio @ Concisa"/>
    <x v="63"/>
    <n v="-9.8149999999999995"/>
    <n v="-60.691000000000003"/>
    <n v="240"/>
    <n v="24336.5"/>
    <n v="0.56000000000000005"/>
    <n v="23.01"/>
    <n v="54.8"/>
  </r>
  <r>
    <n v="62"/>
    <n v="3624200"/>
    <n v="-4.2210999999999999"/>
    <n v="-67.892499999999998"/>
    <s v="Jutai, Rio @ Barreira Alta"/>
    <x v="64"/>
    <n v="-4.2220000000000004"/>
    <n v="-67.891999999999996"/>
    <n v="180"/>
    <n v="35413.5"/>
    <n v="0.54"/>
    <n v="22.86"/>
    <n v="52.9"/>
  </r>
  <r>
    <n v="62"/>
    <n v="3630200"/>
    <n v="-6.7453000000000003"/>
    <n v="-51.773600000000002"/>
    <s v="Fresco, Rio @ Boa Esperanca"/>
    <x v="65"/>
    <n v="-6.7430000000000003"/>
    <n v="-51.771000000000001"/>
    <n v="380"/>
    <n v="42439"/>
    <n v="0.61"/>
    <n v="24.47"/>
    <n v="52.3"/>
  </r>
  <r>
    <n v="62"/>
    <n v="3627551"/>
    <n v="-7.5928000000000004"/>
    <n v="-60.709400000000002"/>
    <s v="Roosevelt, Rio @ Fazenda Boa Lembranca"/>
    <x v="66"/>
    <n v="-7.5940000000000003"/>
    <n v="-60.709000000000003"/>
    <n v="150"/>
    <n v="59299.9"/>
    <n v="0.7"/>
    <n v="23.09"/>
    <n v="55.3"/>
  </r>
  <r>
    <n v="62"/>
    <n v="3630150"/>
    <n v="-5.6966999999999999"/>
    <n v="-54.245600000000003"/>
    <s v="Iriri, Rio @ Laranjeiras"/>
    <x v="67"/>
    <n v="-5.6970000000000001"/>
    <n v="-54.241999999999997"/>
    <n v="350"/>
    <n v="58657.1"/>
    <n v="0.56000000000000005"/>
    <n v="26.21"/>
    <n v="56.3"/>
  </r>
  <r>
    <n v="62"/>
    <n v="3649409"/>
    <n v="-11.6181"/>
    <n v="-50.662500000000001"/>
    <s v="Araguaia, Rio @ Sao Felix Do Araguaia"/>
    <x v="68"/>
    <n v="-11.619"/>
    <n v="-50.661000000000001"/>
    <n v="220"/>
    <n v="193795.8"/>
    <n v="0.87"/>
    <n v="26.34"/>
    <n v="52.7"/>
  </r>
  <r>
    <n v="62"/>
    <n v="3618052"/>
    <n v="-0.2006"/>
    <n v="-66.802199999999999"/>
    <s v="Negro, Rio @ Curicuriari"/>
    <x v="69"/>
    <n v="-0.19500000000000001"/>
    <n v="-66.801000000000002"/>
    <n v="640"/>
    <n v="193617.8"/>
    <n v="1"/>
    <n v="30.72"/>
    <n v="54.7"/>
  </r>
  <r>
    <n v="62"/>
    <n v="3649905"/>
    <n v="-8.3917000000000002"/>
    <n v="-48.111400000000003"/>
    <s v="Tocantins, Rio Tupiratins"/>
    <x v="70"/>
    <n v="-8.391"/>
    <n v="-48.110999999999997"/>
    <n v="110"/>
    <n v="241870.5"/>
    <n v="1.1200000000000001"/>
    <n v="39.820770502090397"/>
    <n v="51.7"/>
  </r>
  <r>
    <n v="62"/>
    <n v="3649416"/>
    <n v="-8.2693999999999992"/>
    <n v="-49.259399999999999"/>
    <s v="Araguaia, Rio Conceicao Do Araguaia"/>
    <x v="71"/>
    <n v="-8.27"/>
    <n v="-49.253999999999998"/>
    <n v="580"/>
    <n v="325052"/>
    <n v="1.55"/>
    <n v="33.1678690910339"/>
    <n v="52.9"/>
  </r>
  <r>
    <n v="62"/>
    <n v="3629180"/>
    <n v="-7.3396999999999997"/>
    <n v="-58.155299999999997"/>
    <s v="Tapajos, Rio @ Barra Do Sao Manuel-Jusante"/>
    <x v="72"/>
    <n v="-7.3360000000000003"/>
    <n v="-58.151000000000003"/>
    <n v="650"/>
    <n v="332936.90000000002"/>
    <n v="1.25"/>
    <n v="29.6"/>
    <n v="52.5"/>
  </r>
  <r>
    <n v="62"/>
    <n v="3630050"/>
    <n v="-3.2147000000000001"/>
    <n v="-52.212200000000003"/>
    <s v="Xingu R. at Altamira"/>
    <x v="73"/>
    <n v="-3.2370000000000001"/>
    <n v="-52.076999999999998"/>
    <n v="9900"/>
    <n v="447865.3"/>
    <n v="1.95"/>
    <n v="34.4"/>
    <n v="53.3"/>
  </r>
  <r>
    <n v="62"/>
    <n v="3627110"/>
    <n v="-10.7925"/>
    <n v="-65.347800000000007"/>
    <s v="Mamore, Rio Guajara-Mirim"/>
    <x v="74"/>
    <n v="-10.794"/>
    <n v="-65.349000000000004"/>
    <n v="240"/>
    <n v="609479.9"/>
    <n v="2.4500000000000002"/>
    <n v="37.468556880950899"/>
    <n v="56.9"/>
  </r>
  <r>
    <n v="62"/>
    <n v="3649950"/>
    <n v="-3.7577799999999999"/>
    <n v="-49.653329999999997"/>
    <s v="Tocantins, Rio Tucurui"/>
    <x v="75"/>
    <n v="-3.7589999999999999"/>
    <n v="-49.658000000000001"/>
    <n v="490"/>
    <n v="758553.59999999998"/>
    <n v="4.49"/>
    <n v="39.089651823043802"/>
    <n v="56.3"/>
  </r>
  <r>
    <n v="62"/>
    <n v="3627035"/>
    <n v="-7.5027999999999997"/>
    <n v="-63.018300000000004"/>
    <s v="Madeira, Rio @ Humaita"/>
    <x v="76"/>
    <n v="-7.5019999999999998"/>
    <n v="-63.015999999999998"/>
    <n v="300"/>
    <n v="1089047.5"/>
    <n v="3.95"/>
    <n v="47.02"/>
    <n v="62.3"/>
  </r>
  <r>
    <n v="62"/>
    <n v="3625000"/>
    <n v="-4.0578000000000003"/>
    <n v="-63.027799999999999"/>
    <s v="Amazon River Itapeua"/>
    <x v="77"/>
    <n v="-4.0540000000000003"/>
    <n v="-63.031999999999996"/>
    <n v="590"/>
    <n v="1775871.3"/>
    <n v="4.57"/>
    <n v="60.106283660000003"/>
    <n v="68.900000000000006"/>
  </r>
  <r>
    <n v="62"/>
    <n v="3621000"/>
    <n v="-3.3106"/>
    <n v="-60.609400000000001"/>
    <s v="Amazon River Manacapuru"/>
    <x v="78"/>
    <n v="-3.3330000000000002"/>
    <n v="-60.6"/>
    <n v="170"/>
    <n v="2203638.7000000002"/>
    <n v="6.29"/>
    <n v="66.088881729999997"/>
    <n v="49"/>
  </r>
  <r>
    <n v="62"/>
    <n v="3618001"/>
    <n v="-3.1960999999999999"/>
    <n v="-59.833599999999997"/>
    <s v="Careiro, Parana Do Careiro"/>
    <x v="79"/>
    <n v="-3.117"/>
    <n v="-59.89"/>
    <n v="170"/>
    <n v="2918411.6"/>
    <n v="6.67"/>
    <n v="85.241885420000003"/>
    <n v="53.6"/>
  </r>
  <r>
    <n v="62"/>
    <n v="3629001"/>
    <n v="-1.9192"/>
    <n v="-55.513100000000001"/>
    <s v="Amazon River Obidos - Linigrafo"/>
    <x v="80"/>
    <n v="-1.927"/>
    <n v="-55.518000000000001"/>
    <n v="1000"/>
    <n v="4672140"/>
    <n v="10.119999999999999"/>
    <n v="116.488173484802"/>
    <n v="104"/>
  </r>
  <r>
    <n v="62"/>
    <n v="9"/>
    <n v="-0.437"/>
    <n v="-50.738"/>
    <s v="Amazon at Most Downstream Location Available"/>
    <x v="81"/>
    <n v="-0.437"/>
    <n v="-50.738"/>
    <n v="78"/>
    <n v="5904942.9000000004"/>
    <n v="12.12"/>
    <n v="108.36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17664-06B5-4270-90BA-DCA7686E88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 rowPageCount="1" colPageCount="1"/>
  <pivotFields count="13">
    <pivotField showAll="0"/>
    <pivotField showAll="0"/>
    <pivotField showAll="0"/>
    <pivotField showAll="0"/>
    <pivotField showAll="0"/>
    <pivotField axis="axisPage" numFmtId="3" multipleItemSelectionAllowed="1" showAll="0">
      <items count="83">
        <item x="0"/>
        <item x="30"/>
        <item x="31"/>
        <item x="1"/>
        <item x="32"/>
        <item x="33"/>
        <item x="52"/>
        <item x="34"/>
        <item x="2"/>
        <item x="3"/>
        <item x="35"/>
        <item x="4"/>
        <item x="36"/>
        <item x="37"/>
        <item x="5"/>
        <item x="38"/>
        <item x="39"/>
        <item x="6"/>
        <item x="40"/>
        <item x="41"/>
        <item x="7"/>
        <item x="8"/>
        <item x="42"/>
        <item x="9"/>
        <item x="53"/>
        <item x="10"/>
        <item x="43"/>
        <item x="11"/>
        <item x="12"/>
        <item x="44"/>
        <item x="54"/>
        <item x="45"/>
        <item x="13"/>
        <item x="46"/>
        <item x="55"/>
        <item x="47"/>
        <item x="14"/>
        <item x="48"/>
        <item x="15"/>
        <item x="16"/>
        <item x="56"/>
        <item x="57"/>
        <item x="49"/>
        <item x="17"/>
        <item x="50"/>
        <item x="18"/>
        <item x="51"/>
        <item x="58"/>
        <item x="19"/>
        <item x="59"/>
        <item x="20"/>
        <item x="60"/>
        <item x="61"/>
        <item x="21"/>
        <item x="62"/>
        <item x="63"/>
        <item x="22"/>
        <item x="23"/>
        <item x="64"/>
        <item x="65"/>
        <item x="24"/>
        <item x="25"/>
        <item x="66"/>
        <item x="67"/>
        <item x="26"/>
        <item x="27"/>
        <item x="28"/>
        <item x="29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numFmtId="165" showAll="0"/>
    <pivotField dataField="1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Average of time pysheds" fld="11" subtotal="average" baseField="0" baseItem="1" numFmtId="164"/>
    <dataField name="Average of time TauDEM" fld="12" subtotal="average" baseField="0" baseItem="1" numFmtId="164"/>
    <dataField name="Average of time delineator " fld="10" subtotal="average" baseField="0" baseItem="1" numFmtId="2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C28" sqref="C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D93"/>
  <sheetViews>
    <sheetView topLeftCell="T1" zoomScaleNormal="100" workbookViewId="0">
      <pane ySplit="3" topLeftCell="A42" activePane="bottomLeft" state="frozen"/>
      <selection pane="bottomLeft" activeCell="E14" sqref="E14"/>
    </sheetView>
  </sheetViews>
  <sheetFormatPr defaultColWidth="8.85546875" defaultRowHeight="12.75" x14ac:dyDescent="0.2"/>
  <cols>
    <col min="1" max="4" width="11" style="19" customWidth="1"/>
    <col min="5" max="5" width="38.85546875" style="19" customWidth="1"/>
    <col min="6" max="6" width="11" style="31" customWidth="1"/>
    <col min="7" max="8" width="11" style="19" customWidth="1"/>
    <col min="9" max="10" width="11" style="23" customWidth="1"/>
    <col min="11" max="11" width="11" style="30" customWidth="1"/>
    <col min="12" max="13" width="11" style="19" customWidth="1"/>
    <col min="14" max="14" width="8.85546875" style="19"/>
    <col min="15" max="15" width="6.28515625" style="19" customWidth="1"/>
    <col min="16" max="17" width="8" style="19" customWidth="1"/>
    <col min="18" max="18" width="12.7109375" style="19" customWidth="1"/>
    <col min="19" max="19" width="13.85546875" style="19" customWidth="1"/>
    <col min="20" max="20" width="17.28515625" style="19" customWidth="1"/>
    <col min="21" max="26" width="8.85546875" style="19"/>
    <col min="27" max="27" width="5.42578125" style="19" customWidth="1"/>
    <col min="28" max="28" width="8.85546875" style="19"/>
    <col min="29" max="29" width="6.7109375" style="19" customWidth="1"/>
    <col min="30" max="30" width="10.5703125" style="19" customWidth="1"/>
    <col min="31" max="31" width="14.42578125" style="19" customWidth="1"/>
    <col min="32" max="16384" width="8.85546875" style="19"/>
  </cols>
  <sheetData>
    <row r="1" spans="1:30" ht="23.25" x14ac:dyDescent="0.35">
      <c r="A1" s="35" t="s">
        <v>123</v>
      </c>
      <c r="K1" s="19"/>
    </row>
    <row r="2" spans="1:30" x14ac:dyDescent="0.2">
      <c r="K2" s="19"/>
    </row>
    <row r="3" spans="1:30" s="34" customFormat="1" ht="38.25" x14ac:dyDescent="0.4">
      <c r="A3" s="18" t="s">
        <v>32</v>
      </c>
      <c r="B3" s="18" t="s">
        <v>0</v>
      </c>
      <c r="C3" s="18" t="s">
        <v>1</v>
      </c>
      <c r="D3" s="18" t="s">
        <v>2</v>
      </c>
      <c r="E3" s="18" t="s">
        <v>3</v>
      </c>
      <c r="F3" s="20" t="s">
        <v>4</v>
      </c>
      <c r="G3" s="18" t="s">
        <v>5</v>
      </c>
      <c r="H3" s="18" t="s">
        <v>6</v>
      </c>
      <c r="I3" s="21" t="s">
        <v>7</v>
      </c>
      <c r="J3" s="21" t="s">
        <v>8</v>
      </c>
      <c r="K3" s="18" t="s">
        <v>116</v>
      </c>
      <c r="L3" s="18" t="s">
        <v>33</v>
      </c>
      <c r="M3" s="18" t="s">
        <v>34</v>
      </c>
      <c r="P3" s="37" t="s">
        <v>119</v>
      </c>
    </row>
    <row r="4" spans="1:30" x14ac:dyDescent="0.2">
      <c r="A4" s="19">
        <v>23</v>
      </c>
      <c r="B4" s="19">
        <v>6604635</v>
      </c>
      <c r="C4" s="32">
        <v>56.359727810000003</v>
      </c>
      <c r="D4" s="32">
        <v>-4.0014424980000003</v>
      </c>
      <c r="E4" s="19" t="s">
        <v>80</v>
      </c>
      <c r="F4" s="22">
        <v>100</v>
      </c>
      <c r="G4" s="19">
        <v>56.359000000000002</v>
      </c>
      <c r="H4" s="19">
        <v>-4.0019999999999998</v>
      </c>
      <c r="I4" s="23">
        <v>64</v>
      </c>
      <c r="J4" s="22">
        <v>100.9</v>
      </c>
      <c r="K4" s="19">
        <v>0.14000000000000001</v>
      </c>
      <c r="L4" s="24">
        <v>19.7842805385589</v>
      </c>
      <c r="M4" s="24">
        <v>43.5</v>
      </c>
      <c r="N4" s="24"/>
    </row>
    <row r="5" spans="1:30" ht="30" x14ac:dyDescent="0.2">
      <c r="A5" s="19">
        <v>23</v>
      </c>
      <c r="B5" s="19">
        <v>6140700</v>
      </c>
      <c r="C5" s="32">
        <v>50.065100000000001</v>
      </c>
      <c r="D5" s="32">
        <v>16.540400000000002</v>
      </c>
      <c r="E5" s="19" t="s">
        <v>55</v>
      </c>
      <c r="F5" s="22">
        <v>182</v>
      </c>
      <c r="G5" s="19">
        <v>50.064999999999998</v>
      </c>
      <c r="H5" s="19">
        <v>16.541</v>
      </c>
      <c r="I5" s="23">
        <v>33</v>
      </c>
      <c r="J5" s="22">
        <v>182.7</v>
      </c>
      <c r="K5" s="19">
        <v>0.34</v>
      </c>
      <c r="L5" s="24">
        <v>14.4291613101959</v>
      </c>
      <c r="M5" s="24">
        <v>53</v>
      </c>
      <c r="N5" s="24"/>
      <c r="P5" s="6"/>
      <c r="Q5" s="6" t="s">
        <v>111</v>
      </c>
      <c r="R5" s="16" t="s">
        <v>100</v>
      </c>
      <c r="S5" s="6" t="s">
        <v>110</v>
      </c>
      <c r="T5" s="6" t="s">
        <v>108</v>
      </c>
    </row>
    <row r="6" spans="1:30" ht="18" x14ac:dyDescent="0.25">
      <c r="A6" s="19">
        <v>23</v>
      </c>
      <c r="B6" s="19">
        <v>6125620</v>
      </c>
      <c r="C6" s="32">
        <v>44.398156999999998</v>
      </c>
      <c r="D6" s="32">
        <v>2.8454709999999999</v>
      </c>
      <c r="E6" s="19" t="s">
        <v>81</v>
      </c>
      <c r="F6" s="22">
        <v>270</v>
      </c>
      <c r="G6" s="19">
        <v>44.398000000000003</v>
      </c>
      <c r="H6" s="19">
        <v>2.847</v>
      </c>
      <c r="I6" s="23">
        <v>97</v>
      </c>
      <c r="J6" s="22">
        <v>296.2</v>
      </c>
      <c r="K6" s="19">
        <v>0.14000000000000001</v>
      </c>
      <c r="L6" s="24">
        <v>14.5863382816314</v>
      </c>
      <c r="M6" s="24">
        <v>52.4</v>
      </c>
      <c r="N6" s="24"/>
      <c r="P6" s="4" t="s">
        <v>98</v>
      </c>
      <c r="Q6" s="7">
        <v>62</v>
      </c>
      <c r="R6" s="8" t="s">
        <v>9</v>
      </c>
      <c r="S6" s="9">
        <v>1.76</v>
      </c>
      <c r="T6" s="14">
        <v>399</v>
      </c>
    </row>
    <row r="7" spans="1:30" ht="15" x14ac:dyDescent="0.2">
      <c r="A7" s="19">
        <v>23</v>
      </c>
      <c r="B7" s="19">
        <v>6606900</v>
      </c>
      <c r="C7" s="32">
        <v>52.382870920000002</v>
      </c>
      <c r="D7" s="32">
        <v>1.2739110739999999</v>
      </c>
      <c r="E7" s="19" t="s">
        <v>57</v>
      </c>
      <c r="F7" s="22">
        <v>370</v>
      </c>
      <c r="G7" s="19">
        <v>52.383000000000003</v>
      </c>
      <c r="H7" s="19">
        <v>1.274</v>
      </c>
      <c r="I7" s="23">
        <v>54</v>
      </c>
      <c r="J7" s="22">
        <v>375.3</v>
      </c>
      <c r="K7" s="19">
        <v>0.18</v>
      </c>
      <c r="L7" s="24">
        <v>13.8914506435394</v>
      </c>
      <c r="M7" s="24">
        <v>48.5</v>
      </c>
      <c r="N7" s="24"/>
      <c r="P7" s="5" t="s">
        <v>97</v>
      </c>
      <c r="Q7" s="7">
        <v>23</v>
      </c>
      <c r="R7" s="8" t="s">
        <v>109</v>
      </c>
      <c r="S7" s="9">
        <v>1.51</v>
      </c>
      <c r="T7" s="14">
        <v>134</v>
      </c>
    </row>
    <row r="8" spans="1:30" ht="16.5" x14ac:dyDescent="0.25">
      <c r="A8" s="19">
        <v>23</v>
      </c>
      <c r="B8" s="19">
        <v>6136520</v>
      </c>
      <c r="C8" s="32">
        <v>48.981896999999996</v>
      </c>
      <c r="D8" s="32">
        <v>7.0107749999999998</v>
      </c>
      <c r="E8" s="19" t="s">
        <v>58</v>
      </c>
      <c r="F8" s="22">
        <v>407</v>
      </c>
      <c r="G8" s="19">
        <v>48.982999999999997</v>
      </c>
      <c r="H8" s="19">
        <v>7.0110000000000001</v>
      </c>
      <c r="I8" s="23">
        <v>67</v>
      </c>
      <c r="J8" s="22">
        <v>404.4</v>
      </c>
      <c r="K8" s="19">
        <v>0.17</v>
      </c>
      <c r="L8" s="24">
        <v>13.941042661666801</v>
      </c>
      <c r="M8" s="24">
        <v>46.6</v>
      </c>
      <c r="N8" s="24"/>
      <c r="P8" s="13" t="s">
        <v>96</v>
      </c>
      <c r="Q8" s="10">
        <v>27</v>
      </c>
      <c r="R8" s="11" t="s">
        <v>99</v>
      </c>
      <c r="S8" s="12">
        <v>0.43</v>
      </c>
      <c r="T8" s="15">
        <v>9</v>
      </c>
    </row>
    <row r="9" spans="1:30" x14ac:dyDescent="0.2">
      <c r="A9" s="19">
        <v>23</v>
      </c>
      <c r="B9" s="19">
        <v>6335675</v>
      </c>
      <c r="C9" s="32">
        <v>48.959296999999999</v>
      </c>
      <c r="D9" s="32">
        <v>9.2612059999999996</v>
      </c>
      <c r="E9" s="19" t="s">
        <v>59</v>
      </c>
      <c r="F9" s="22">
        <v>506</v>
      </c>
      <c r="G9" s="19">
        <v>48.959000000000003</v>
      </c>
      <c r="H9" s="19">
        <v>9.2609999999999992</v>
      </c>
      <c r="I9" s="23">
        <v>31</v>
      </c>
      <c r="J9" s="22">
        <v>504.7</v>
      </c>
      <c r="K9" s="19">
        <v>0.16</v>
      </c>
      <c r="L9" s="24">
        <v>13.6777238845825</v>
      </c>
      <c r="M9" s="24">
        <v>47.9</v>
      </c>
      <c r="N9" s="24"/>
      <c r="AD9" s="19" t="s">
        <v>120</v>
      </c>
    </row>
    <row r="10" spans="1:30" ht="14.25" x14ac:dyDescent="0.2">
      <c r="A10" s="19">
        <v>23</v>
      </c>
      <c r="B10" s="19">
        <v>6935540</v>
      </c>
      <c r="C10" s="32">
        <v>46.974600000000002</v>
      </c>
      <c r="D10" s="32">
        <v>9.6120999999999999</v>
      </c>
      <c r="E10" s="19" t="s">
        <v>60</v>
      </c>
      <c r="F10" s="22">
        <v>616</v>
      </c>
      <c r="G10" s="19">
        <v>46.973999999999997</v>
      </c>
      <c r="H10" s="19">
        <v>9.6120000000000001</v>
      </c>
      <c r="I10" s="23">
        <v>57</v>
      </c>
      <c r="J10" s="22">
        <v>617.9</v>
      </c>
      <c r="K10" s="19">
        <v>0.16</v>
      </c>
      <c r="L10" s="24">
        <v>13.5354309082031</v>
      </c>
      <c r="M10" s="24">
        <v>44.7</v>
      </c>
      <c r="N10" s="24"/>
      <c r="AA10" s="3"/>
    </row>
    <row r="11" spans="1:30" ht="14.25" x14ac:dyDescent="0.2">
      <c r="A11" s="19">
        <v>23</v>
      </c>
      <c r="B11" s="19">
        <v>6220162</v>
      </c>
      <c r="C11" s="32">
        <v>50.762011000000001</v>
      </c>
      <c r="D11" s="32">
        <v>3.8673359999999999</v>
      </c>
      <c r="E11" s="19" t="s">
        <v>61</v>
      </c>
      <c r="F11" s="22">
        <v>785</v>
      </c>
      <c r="G11" s="19">
        <v>50.762</v>
      </c>
      <c r="H11" s="19">
        <v>3.867</v>
      </c>
      <c r="I11" s="23">
        <v>40</v>
      </c>
      <c r="J11" s="22">
        <v>798</v>
      </c>
      <c r="K11" s="19">
        <v>0.2</v>
      </c>
      <c r="L11" s="24">
        <v>13.3648936748504</v>
      </c>
      <c r="M11" s="24">
        <v>48.7</v>
      </c>
      <c r="N11" s="24"/>
      <c r="AB11" s="3"/>
      <c r="AC11" s="3"/>
      <c r="AD11" s="3"/>
    </row>
    <row r="12" spans="1:30" x14ac:dyDescent="0.2">
      <c r="A12" s="19">
        <v>23</v>
      </c>
      <c r="B12" s="19">
        <v>6607150</v>
      </c>
      <c r="C12" s="32">
        <v>50.995468750000001</v>
      </c>
      <c r="D12" s="32">
        <v>-3.9850413059999998</v>
      </c>
      <c r="E12" s="19" t="s">
        <v>84</v>
      </c>
      <c r="F12" s="23">
        <v>826</v>
      </c>
      <c r="G12" s="19">
        <v>50.994999999999997</v>
      </c>
      <c r="H12" s="19">
        <v>-3.9849999999999999</v>
      </c>
      <c r="I12" s="23">
        <v>52</v>
      </c>
      <c r="J12" s="22">
        <v>832.5</v>
      </c>
      <c r="K12" s="19">
        <v>0.24</v>
      </c>
      <c r="L12" s="24">
        <v>14.07</v>
      </c>
      <c r="M12" s="24">
        <v>42.8</v>
      </c>
      <c r="N12" s="24"/>
    </row>
    <row r="13" spans="1:30" ht="16.149999999999999" customHeight="1" x14ac:dyDescent="0.2">
      <c r="A13" s="19">
        <v>23</v>
      </c>
      <c r="B13" s="19">
        <v>6118230</v>
      </c>
      <c r="C13" s="32">
        <v>49.863055000000003</v>
      </c>
      <c r="D13" s="32">
        <v>1.1848460000000001</v>
      </c>
      <c r="E13" s="19" t="s">
        <v>56</v>
      </c>
      <c r="F13" s="22">
        <v>946</v>
      </c>
      <c r="G13" s="19">
        <v>49.863999999999997</v>
      </c>
      <c r="H13" s="19">
        <v>1.1850000000000001</v>
      </c>
      <c r="I13" s="23">
        <v>120</v>
      </c>
      <c r="J13" s="22">
        <v>306.5</v>
      </c>
      <c r="K13" s="19">
        <v>0.3</v>
      </c>
      <c r="L13" s="24">
        <v>13.236284255981401</v>
      </c>
      <c r="M13" s="24">
        <v>49.6</v>
      </c>
      <c r="N13" s="24"/>
    </row>
    <row r="14" spans="1:30" ht="16.149999999999999" customHeight="1" x14ac:dyDescent="0.2">
      <c r="A14" s="19">
        <v>23</v>
      </c>
      <c r="B14" s="19">
        <v>6607500</v>
      </c>
      <c r="C14" s="32">
        <v>50.763897450000002</v>
      </c>
      <c r="D14" s="32">
        <v>-1.842093942</v>
      </c>
      <c r="E14" s="19" t="s">
        <v>62</v>
      </c>
      <c r="F14" s="22">
        <v>1073</v>
      </c>
      <c r="G14" s="19">
        <v>50.762999999999998</v>
      </c>
      <c r="H14" s="19">
        <v>-1.8420000000000001</v>
      </c>
      <c r="I14" s="23">
        <v>70</v>
      </c>
      <c r="J14" s="22">
        <v>1071.5999999999999</v>
      </c>
      <c r="K14" s="19">
        <v>0.21</v>
      </c>
      <c r="L14" s="24">
        <v>13.6608574390411</v>
      </c>
      <c r="M14" s="24">
        <v>47.4</v>
      </c>
      <c r="N14" s="24"/>
    </row>
    <row r="15" spans="1:30" ht="16.149999999999999" customHeight="1" x14ac:dyDescent="0.2">
      <c r="A15" s="19">
        <v>23</v>
      </c>
      <c r="B15" s="19">
        <v>6337504</v>
      </c>
      <c r="C15" s="32">
        <v>51.155678999999999</v>
      </c>
      <c r="D15" s="32">
        <v>8.8981820000000003</v>
      </c>
      <c r="E15" s="19" t="s">
        <v>83</v>
      </c>
      <c r="F15" s="23">
        <v>1202</v>
      </c>
      <c r="G15" s="19">
        <v>51.155000000000001</v>
      </c>
      <c r="H15" s="19">
        <v>8.8979999999999997</v>
      </c>
      <c r="I15" s="23">
        <v>76</v>
      </c>
      <c r="J15" s="22">
        <v>1204.5999999999999</v>
      </c>
      <c r="K15" s="19">
        <v>0.24</v>
      </c>
      <c r="L15" s="24">
        <v>14.87</v>
      </c>
      <c r="M15" s="24">
        <v>39.299999999999997</v>
      </c>
      <c r="N15" s="24"/>
    </row>
    <row r="16" spans="1:30" x14ac:dyDescent="0.2">
      <c r="A16" s="19">
        <v>23</v>
      </c>
      <c r="B16" s="19">
        <v>6503501</v>
      </c>
      <c r="C16" s="32">
        <v>52.144604000000001</v>
      </c>
      <c r="D16" s="32">
        <v>-8.5162700000000005</v>
      </c>
      <c r="E16" s="19" t="s">
        <v>63</v>
      </c>
      <c r="F16" s="22">
        <v>1257</v>
      </c>
      <c r="G16" s="19">
        <v>52.148000000000003</v>
      </c>
      <c r="H16" s="19">
        <v>-8.5180000000000007</v>
      </c>
      <c r="I16" s="23">
        <v>440</v>
      </c>
      <c r="J16" s="22">
        <v>1251.0999999999999</v>
      </c>
      <c r="K16" s="19">
        <v>0.26</v>
      </c>
      <c r="L16" s="24">
        <v>14.192711353302</v>
      </c>
      <c r="M16" s="24">
        <v>48.6</v>
      </c>
      <c r="N16" s="24"/>
    </row>
    <row r="17" spans="1:14" x14ac:dyDescent="0.2">
      <c r="A17" s="19">
        <v>23</v>
      </c>
      <c r="B17" s="19">
        <v>6335681</v>
      </c>
      <c r="C17" s="32">
        <v>49.268549</v>
      </c>
      <c r="D17" s="32">
        <v>9.2199410000000004</v>
      </c>
      <c r="E17" s="19" t="s">
        <v>64</v>
      </c>
      <c r="F17" s="22">
        <v>1825</v>
      </c>
      <c r="G17" s="19">
        <v>49.268999999999998</v>
      </c>
      <c r="H17" s="19">
        <v>9.2200000000000006</v>
      </c>
      <c r="I17" s="23">
        <v>69</v>
      </c>
      <c r="J17" s="22">
        <v>1824</v>
      </c>
      <c r="K17" s="19">
        <v>0.24</v>
      </c>
      <c r="L17" s="24">
        <v>14.022370338439902</v>
      </c>
      <c r="M17" s="24">
        <v>46.7</v>
      </c>
      <c r="N17" s="24"/>
    </row>
    <row r="18" spans="1:14" x14ac:dyDescent="0.2">
      <c r="A18" s="19">
        <v>23</v>
      </c>
      <c r="B18" s="19">
        <v>6338161</v>
      </c>
      <c r="C18" s="32">
        <v>52.682623999999997</v>
      </c>
      <c r="D18" s="32">
        <v>7.602417</v>
      </c>
      <c r="E18" s="19" t="s">
        <v>65</v>
      </c>
      <c r="F18" s="22">
        <v>2218</v>
      </c>
      <c r="G18" s="19">
        <v>52.682000000000002</v>
      </c>
      <c r="H18" s="19">
        <v>7.6020000000000003</v>
      </c>
      <c r="I18" s="23">
        <v>15</v>
      </c>
      <c r="J18" s="22">
        <v>2255.5</v>
      </c>
      <c r="K18" s="19">
        <v>0.2</v>
      </c>
      <c r="L18" s="24">
        <v>13.786032676696699</v>
      </c>
      <c r="M18" s="24">
        <v>48.2</v>
      </c>
      <c r="N18" s="24"/>
    </row>
    <row r="19" spans="1:14" x14ac:dyDescent="0.2">
      <c r="A19" s="19">
        <v>23</v>
      </c>
      <c r="B19" s="19">
        <v>6140300</v>
      </c>
      <c r="C19" s="32">
        <v>49.316499999999998</v>
      </c>
      <c r="D19" s="32">
        <v>14.1435</v>
      </c>
      <c r="E19" s="19" t="s">
        <v>66</v>
      </c>
      <c r="F19" s="22">
        <v>2914</v>
      </c>
      <c r="G19" s="19">
        <v>49.316000000000003</v>
      </c>
      <c r="H19" s="19">
        <v>14.144</v>
      </c>
      <c r="I19" s="23">
        <v>89</v>
      </c>
      <c r="J19" s="22">
        <v>2859.5</v>
      </c>
      <c r="K19" s="19">
        <v>0.21</v>
      </c>
      <c r="L19" s="24">
        <v>13.536462306976301</v>
      </c>
      <c r="M19" s="24">
        <v>47</v>
      </c>
      <c r="N19" s="24"/>
    </row>
    <row r="20" spans="1:14" x14ac:dyDescent="0.2">
      <c r="A20" s="19">
        <v>23</v>
      </c>
      <c r="B20" s="19">
        <v>6335030</v>
      </c>
      <c r="C20" s="32">
        <v>51.399749999999997</v>
      </c>
      <c r="D20" s="32">
        <v>7.1610339999999999</v>
      </c>
      <c r="E20" s="19" t="s">
        <v>67</v>
      </c>
      <c r="F20" s="22">
        <v>4078</v>
      </c>
      <c r="G20" s="19">
        <v>51.399000000000001</v>
      </c>
      <c r="H20" s="19">
        <v>7.1619999999999999</v>
      </c>
      <c r="I20" s="23">
        <v>78</v>
      </c>
      <c r="J20" s="22">
        <v>4123</v>
      </c>
      <c r="K20" s="19">
        <v>0.28000000000000003</v>
      </c>
      <c r="L20" s="24">
        <v>13.894389390945401</v>
      </c>
      <c r="M20" s="24">
        <v>45.8</v>
      </c>
      <c r="N20" s="24"/>
    </row>
    <row r="21" spans="1:14" x14ac:dyDescent="0.2">
      <c r="A21" s="19">
        <v>23</v>
      </c>
      <c r="B21" s="19">
        <v>6118800</v>
      </c>
      <c r="C21" s="32">
        <v>50.1</v>
      </c>
      <c r="D21" s="32">
        <v>1.83</v>
      </c>
      <c r="E21" s="19" t="s">
        <v>95</v>
      </c>
      <c r="F21" s="23">
        <v>5560</v>
      </c>
      <c r="G21" s="19">
        <v>50.098999999999997</v>
      </c>
      <c r="H21" s="19">
        <v>1.831</v>
      </c>
      <c r="I21" s="23">
        <v>110</v>
      </c>
      <c r="J21" s="22">
        <v>5679.7</v>
      </c>
      <c r="K21" s="19">
        <v>0.27</v>
      </c>
      <c r="L21" s="24">
        <v>16.12</v>
      </c>
      <c r="M21" s="24">
        <v>42.1</v>
      </c>
      <c r="N21" s="24"/>
    </row>
    <row r="22" spans="1:14" x14ac:dyDescent="0.2">
      <c r="A22" s="19">
        <v>23</v>
      </c>
      <c r="B22" s="19">
        <v>6337510</v>
      </c>
      <c r="C22" s="32">
        <v>52.683</v>
      </c>
      <c r="D22" s="32">
        <v>9.6039999999999992</v>
      </c>
      <c r="E22" s="19" t="s">
        <v>68</v>
      </c>
      <c r="F22" s="22">
        <v>6443</v>
      </c>
      <c r="G22" s="19">
        <v>52.682000000000002</v>
      </c>
      <c r="H22" s="19">
        <v>9.6020000000000003</v>
      </c>
      <c r="I22" s="23">
        <v>120</v>
      </c>
      <c r="J22" s="22">
        <v>6539</v>
      </c>
      <c r="K22" s="19">
        <v>0.36</v>
      </c>
      <c r="L22" s="24">
        <v>14.038529157638502</v>
      </c>
      <c r="M22" s="24">
        <v>43.1</v>
      </c>
      <c r="N22" s="24"/>
    </row>
    <row r="23" spans="1:14" x14ac:dyDescent="0.2">
      <c r="A23" s="19">
        <v>23</v>
      </c>
      <c r="B23" s="19">
        <v>6140250</v>
      </c>
      <c r="C23" s="32">
        <v>49.958599999999997</v>
      </c>
      <c r="D23" s="32">
        <v>14.087400000000001</v>
      </c>
      <c r="E23" s="19" t="s">
        <v>69</v>
      </c>
      <c r="F23" s="22">
        <v>8286</v>
      </c>
      <c r="G23" s="19">
        <v>49.959000000000003</v>
      </c>
      <c r="H23" s="19">
        <v>14.087999999999999</v>
      </c>
      <c r="I23" s="23">
        <v>92</v>
      </c>
      <c r="J23" s="22">
        <v>8283.1</v>
      </c>
      <c r="K23" s="19">
        <v>0.31</v>
      </c>
      <c r="L23" s="24">
        <v>13.691435098648</v>
      </c>
      <c r="M23" s="24">
        <v>42.5</v>
      </c>
      <c r="N23" s="24"/>
    </row>
    <row r="24" spans="1:14" x14ac:dyDescent="0.2">
      <c r="A24" s="19">
        <v>23</v>
      </c>
      <c r="B24" s="19">
        <v>6221102</v>
      </c>
      <c r="C24" s="32">
        <v>50.092132999999997</v>
      </c>
      <c r="D24" s="32">
        <v>4.8065239999999996</v>
      </c>
      <c r="E24" s="19" t="s">
        <v>70</v>
      </c>
      <c r="F24" s="22">
        <v>10120</v>
      </c>
      <c r="G24" s="19">
        <v>50.091999999999999</v>
      </c>
      <c r="H24" s="19">
        <v>4.8070000000000004</v>
      </c>
      <c r="I24" s="23">
        <v>53</v>
      </c>
      <c r="J24" s="22">
        <v>10181.299999999999</v>
      </c>
      <c r="K24" s="19">
        <v>0.32</v>
      </c>
      <c r="L24" s="24">
        <v>13.912417173385601</v>
      </c>
      <c r="M24" s="24">
        <v>41.9</v>
      </c>
      <c r="N24" s="24"/>
    </row>
    <row r="25" spans="1:14" x14ac:dyDescent="0.2">
      <c r="A25" s="19">
        <v>23</v>
      </c>
      <c r="B25" s="19">
        <v>6337100</v>
      </c>
      <c r="C25" s="32">
        <v>52.176000000000002</v>
      </c>
      <c r="D25" s="32">
        <v>8.8620000000000001</v>
      </c>
      <c r="E25" s="19" t="s">
        <v>71</v>
      </c>
      <c r="F25" s="25">
        <v>17618</v>
      </c>
      <c r="G25" s="19">
        <v>52.177</v>
      </c>
      <c r="H25" s="19">
        <v>8.8629999999999995</v>
      </c>
      <c r="I25" s="23">
        <v>120</v>
      </c>
      <c r="J25" s="22">
        <v>17619.599999999999</v>
      </c>
      <c r="K25" s="19">
        <v>0.43</v>
      </c>
      <c r="L25" s="24">
        <v>14.5399570465087</v>
      </c>
      <c r="M25" s="24">
        <v>43</v>
      </c>
      <c r="N25" s="24"/>
    </row>
    <row r="26" spans="1:14" x14ac:dyDescent="0.2">
      <c r="A26" s="19">
        <v>23</v>
      </c>
      <c r="B26" s="19">
        <v>6421501</v>
      </c>
      <c r="C26" s="32">
        <v>51.82</v>
      </c>
      <c r="D26" s="32">
        <v>5.54</v>
      </c>
      <c r="E26" s="19" t="s">
        <v>72</v>
      </c>
      <c r="F26" s="22">
        <v>28980</v>
      </c>
      <c r="G26" s="19">
        <v>51.817</v>
      </c>
      <c r="H26" s="19">
        <v>5.5410000000000004</v>
      </c>
      <c r="I26" s="23">
        <v>380</v>
      </c>
      <c r="J26" s="22">
        <v>28922.1</v>
      </c>
      <c r="K26" s="19">
        <v>0.53</v>
      </c>
      <c r="L26" s="24">
        <v>14.958040237426699</v>
      </c>
      <c r="M26" s="24">
        <v>42.8</v>
      </c>
      <c r="N26" s="24"/>
    </row>
    <row r="27" spans="1:14" ht="15" customHeight="1" x14ac:dyDescent="0.2">
      <c r="A27" s="19">
        <v>23</v>
      </c>
      <c r="B27" s="19">
        <v>6335400</v>
      </c>
      <c r="C27" s="32">
        <v>47.561464000000001</v>
      </c>
      <c r="D27" s="32">
        <v>7.8003260000000001</v>
      </c>
      <c r="E27" s="19" t="s">
        <v>73</v>
      </c>
      <c r="F27" s="22">
        <v>34550</v>
      </c>
      <c r="G27" s="19">
        <v>47.561999999999998</v>
      </c>
      <c r="H27" s="19">
        <v>7.8</v>
      </c>
      <c r="I27" s="23">
        <v>120</v>
      </c>
      <c r="J27" s="22">
        <v>34382.300000000003</v>
      </c>
      <c r="K27" s="19">
        <v>0.51</v>
      </c>
      <c r="L27" s="24">
        <v>14.3483209609985</v>
      </c>
      <c r="M27" s="24">
        <v>42.5</v>
      </c>
      <c r="N27" s="24"/>
    </row>
    <row r="28" spans="1:14" x14ac:dyDescent="0.2">
      <c r="A28" s="19">
        <v>23</v>
      </c>
      <c r="B28" s="19">
        <v>6140401</v>
      </c>
      <c r="C28" s="32">
        <v>50.6539</v>
      </c>
      <c r="D28" s="32">
        <v>14.0425</v>
      </c>
      <c r="E28" s="19" t="s">
        <v>74</v>
      </c>
      <c r="F28" s="22">
        <v>48561</v>
      </c>
      <c r="G28" s="19">
        <v>50.652999999999999</v>
      </c>
      <c r="H28" s="19">
        <v>14.044</v>
      </c>
      <c r="I28" s="23">
        <v>130</v>
      </c>
      <c r="J28" s="22">
        <v>48516.800000000003</v>
      </c>
      <c r="K28" s="19">
        <v>0.57999999999999996</v>
      </c>
      <c r="L28" s="24">
        <v>15.2705845832824</v>
      </c>
      <c r="M28" s="24">
        <v>42.9</v>
      </c>
      <c r="N28" s="24"/>
    </row>
    <row r="29" spans="1:14" x14ac:dyDescent="0.2">
      <c r="A29" s="19">
        <v>23</v>
      </c>
      <c r="B29" s="19">
        <v>6340190</v>
      </c>
      <c r="C29" s="32">
        <v>51.558968</v>
      </c>
      <c r="D29" s="32">
        <v>13.010574999999999</v>
      </c>
      <c r="E29" s="19" t="s">
        <v>75</v>
      </c>
      <c r="F29" s="22">
        <v>55211</v>
      </c>
      <c r="G29" s="19">
        <v>51.558</v>
      </c>
      <c r="H29" s="19">
        <v>13.010999999999999</v>
      </c>
      <c r="I29" s="23">
        <v>73</v>
      </c>
      <c r="J29" s="22">
        <v>55426.8</v>
      </c>
      <c r="K29" s="19">
        <v>0.71</v>
      </c>
      <c r="L29" s="24">
        <v>15.908783912658601</v>
      </c>
      <c r="M29" s="24">
        <v>45.9</v>
      </c>
      <c r="N29" s="24"/>
    </row>
    <row r="30" spans="1:14" x14ac:dyDescent="0.2">
      <c r="A30" s="19">
        <v>23</v>
      </c>
      <c r="B30" s="19">
        <v>6335180</v>
      </c>
      <c r="C30" s="32">
        <v>49.641120000000001</v>
      </c>
      <c r="D30" s="32">
        <v>8.3760189999999994</v>
      </c>
      <c r="E30" s="19" t="s">
        <v>76</v>
      </c>
      <c r="F30" s="22">
        <v>68827</v>
      </c>
      <c r="G30" s="19">
        <v>49.640999999999998</v>
      </c>
      <c r="H30" s="19">
        <v>8.3759999999999994</v>
      </c>
      <c r="I30" s="23">
        <v>35</v>
      </c>
      <c r="J30" s="22">
        <v>68917.2</v>
      </c>
      <c r="K30" s="19">
        <v>0.71</v>
      </c>
      <c r="L30" s="24">
        <v>15.978486061096101</v>
      </c>
      <c r="M30" s="24">
        <v>44.4</v>
      </c>
      <c r="N30" s="24"/>
    </row>
    <row r="31" spans="1:14" x14ac:dyDescent="0.2">
      <c r="A31" s="19">
        <v>23</v>
      </c>
      <c r="B31" s="19">
        <v>6340170</v>
      </c>
      <c r="C31" s="32">
        <v>51.863160000000001</v>
      </c>
      <c r="D31" s="32">
        <v>12.059195000000001</v>
      </c>
      <c r="E31" s="19" t="s">
        <v>77</v>
      </c>
      <c r="F31" s="22">
        <v>70093</v>
      </c>
      <c r="G31" s="19">
        <v>51.86</v>
      </c>
      <c r="H31" s="19">
        <v>12.061999999999999</v>
      </c>
      <c r="I31" s="23">
        <v>390</v>
      </c>
      <c r="J31" s="22">
        <v>68993.100000000006</v>
      </c>
      <c r="K31" s="19">
        <v>0.63</v>
      </c>
      <c r="L31" s="24">
        <v>15.8773033618927</v>
      </c>
      <c r="M31" s="24">
        <v>43.1</v>
      </c>
      <c r="N31" s="24"/>
    </row>
    <row r="32" spans="1:14" x14ac:dyDescent="0.2">
      <c r="A32" s="19">
        <v>23</v>
      </c>
      <c r="B32" s="19">
        <v>6340160</v>
      </c>
      <c r="C32" s="32">
        <v>52.546602999999998</v>
      </c>
      <c r="D32" s="32">
        <v>11.978396</v>
      </c>
      <c r="E32" s="19" t="s">
        <v>78</v>
      </c>
      <c r="F32" s="22">
        <v>97780</v>
      </c>
      <c r="G32" s="19">
        <v>52.545000000000002</v>
      </c>
      <c r="H32" s="19">
        <v>11.981999999999999</v>
      </c>
      <c r="I32" s="23">
        <v>330</v>
      </c>
      <c r="J32" s="22">
        <v>97728.9</v>
      </c>
      <c r="K32" s="19">
        <v>0.88</v>
      </c>
      <c r="L32" s="24">
        <v>19.5413818359375</v>
      </c>
      <c r="M32" s="24">
        <v>43.8</v>
      </c>
      <c r="N32" s="24"/>
    </row>
    <row r="33" spans="1:30" x14ac:dyDescent="0.2">
      <c r="A33" s="26">
        <v>23</v>
      </c>
      <c r="B33" s="26">
        <v>6335070</v>
      </c>
      <c r="C33" s="33">
        <v>50.443385999999997</v>
      </c>
      <c r="D33" s="33">
        <v>7.3920500000000002</v>
      </c>
      <c r="E33" s="26" t="s">
        <v>79</v>
      </c>
      <c r="F33" s="27">
        <v>139549</v>
      </c>
      <c r="G33" s="26">
        <v>50.444000000000003</v>
      </c>
      <c r="H33" s="26">
        <v>7.3929999999999998</v>
      </c>
      <c r="I33" s="28">
        <v>130</v>
      </c>
      <c r="J33" s="22">
        <v>139703.20000000001</v>
      </c>
      <c r="K33" s="19">
        <v>0.97</v>
      </c>
      <c r="L33" s="29">
        <v>19.9518704414367</v>
      </c>
      <c r="M33" s="29">
        <v>44.9</v>
      </c>
      <c r="N33" s="24"/>
    </row>
    <row r="34" spans="1:30" x14ac:dyDescent="0.2">
      <c r="A34" s="19">
        <v>27</v>
      </c>
      <c r="B34" s="19">
        <v>6401310</v>
      </c>
      <c r="C34" s="32">
        <v>65.588759999999994</v>
      </c>
      <c r="D34" s="32">
        <v>-23.127189999999999</v>
      </c>
      <c r="E34" s="19" t="s">
        <v>22</v>
      </c>
      <c r="F34" s="22">
        <v>102</v>
      </c>
      <c r="G34" s="19">
        <v>65.588999999999999</v>
      </c>
      <c r="H34" s="19">
        <v>-23.126999999999999</v>
      </c>
      <c r="I34" s="23">
        <v>48</v>
      </c>
      <c r="J34" s="22">
        <v>99.2</v>
      </c>
      <c r="K34" s="19">
        <v>0.16</v>
      </c>
      <c r="L34" s="24">
        <v>3.53</v>
      </c>
      <c r="M34" s="24">
        <v>13.7</v>
      </c>
      <c r="N34" s="24"/>
    </row>
    <row r="35" spans="1:30" x14ac:dyDescent="0.2">
      <c r="A35" s="19">
        <v>27</v>
      </c>
      <c r="B35" s="19">
        <v>6401160</v>
      </c>
      <c r="C35" s="32">
        <v>64.752809999999997</v>
      </c>
      <c r="D35" s="32">
        <v>-14.486050000000001</v>
      </c>
      <c r="E35" s="19" t="s">
        <v>17</v>
      </c>
      <c r="F35" s="22">
        <v>115</v>
      </c>
      <c r="G35" s="19">
        <v>64.751999999999995</v>
      </c>
      <c r="H35" s="19">
        <v>-14.486000000000001</v>
      </c>
      <c r="I35" s="23">
        <v>36</v>
      </c>
      <c r="J35" s="22">
        <v>106.5</v>
      </c>
      <c r="K35" s="19">
        <v>0.19</v>
      </c>
      <c r="L35" s="24">
        <v>3.61</v>
      </c>
      <c r="M35" s="24">
        <v>10.6</v>
      </c>
      <c r="N35" s="24"/>
    </row>
    <row r="36" spans="1:30" x14ac:dyDescent="0.2">
      <c r="A36" s="19">
        <v>27</v>
      </c>
      <c r="B36" s="19">
        <v>6401300</v>
      </c>
      <c r="C36" s="32">
        <v>66.069760000000002</v>
      </c>
      <c r="D36" s="32">
        <v>-21.752980000000001</v>
      </c>
      <c r="E36" s="19" t="s">
        <v>21</v>
      </c>
      <c r="F36" s="22">
        <v>193</v>
      </c>
      <c r="G36" s="19">
        <v>66.069000000000003</v>
      </c>
      <c r="H36" s="19">
        <v>-21.751999999999999</v>
      </c>
      <c r="I36" s="23">
        <v>89</v>
      </c>
      <c r="J36" s="22">
        <v>207.3</v>
      </c>
      <c r="K36" s="19">
        <v>0.19</v>
      </c>
      <c r="L36" s="24">
        <v>3.63</v>
      </c>
      <c r="M36" s="24">
        <v>14.4</v>
      </c>
      <c r="N36" s="24"/>
      <c r="AD36" s="19" t="s">
        <v>121</v>
      </c>
    </row>
    <row r="37" spans="1:30" x14ac:dyDescent="0.2">
      <c r="A37" s="19">
        <v>27</v>
      </c>
      <c r="B37" s="19">
        <v>6401500</v>
      </c>
      <c r="C37" s="32">
        <v>63.950899999999997</v>
      </c>
      <c r="D37" s="32">
        <v>-17.636089999999999</v>
      </c>
      <c r="E37" s="19" t="s">
        <v>26</v>
      </c>
      <c r="F37" s="22">
        <v>226</v>
      </c>
      <c r="G37" s="19">
        <v>63.951999999999998</v>
      </c>
      <c r="H37" s="19">
        <v>-17.637</v>
      </c>
      <c r="I37" s="23">
        <v>90</v>
      </c>
      <c r="J37" s="22">
        <v>641.4</v>
      </c>
      <c r="K37" s="19">
        <v>0.28999999999999998</v>
      </c>
      <c r="L37" s="24">
        <v>3.58</v>
      </c>
      <c r="M37" s="24">
        <v>11.9</v>
      </c>
      <c r="N37" s="24"/>
      <c r="AD37" s="38" t="s">
        <v>122</v>
      </c>
    </row>
    <row r="38" spans="1:30" x14ac:dyDescent="0.2">
      <c r="A38" s="19">
        <v>27</v>
      </c>
      <c r="B38" s="19">
        <v>6401460</v>
      </c>
      <c r="C38" s="32">
        <v>66.198089999999993</v>
      </c>
      <c r="D38" s="32">
        <v>-15.59652</v>
      </c>
      <c r="E38" s="19" t="s">
        <v>25</v>
      </c>
      <c r="F38" s="22">
        <v>266</v>
      </c>
      <c r="G38" s="19">
        <v>66.197000000000003</v>
      </c>
      <c r="H38" s="19">
        <v>-15.596</v>
      </c>
      <c r="I38" s="23">
        <v>73</v>
      </c>
      <c r="J38" s="22">
        <v>267.10000000000002</v>
      </c>
      <c r="K38" s="19">
        <v>0.22</v>
      </c>
      <c r="L38" s="24">
        <v>3.58</v>
      </c>
      <c r="M38" s="24">
        <v>11.7</v>
      </c>
      <c r="N38" s="24"/>
    </row>
    <row r="39" spans="1:30" x14ac:dyDescent="0.2">
      <c r="A39" s="19">
        <v>27</v>
      </c>
      <c r="B39" s="19">
        <v>6401601</v>
      </c>
      <c r="C39" s="32">
        <v>65.494590000000002</v>
      </c>
      <c r="D39" s="32">
        <v>-19.384</v>
      </c>
      <c r="E39" s="19" t="s">
        <v>27</v>
      </c>
      <c r="F39" s="22">
        <v>396</v>
      </c>
      <c r="G39" s="19">
        <v>65.494</v>
      </c>
      <c r="H39" s="19">
        <v>-19.382999999999999</v>
      </c>
      <c r="I39" s="23">
        <v>56</v>
      </c>
      <c r="J39" s="22">
        <v>388.6</v>
      </c>
      <c r="K39" s="19">
        <v>0.21</v>
      </c>
      <c r="L39" s="24">
        <v>3.6</v>
      </c>
      <c r="M39" s="24">
        <v>12.4</v>
      </c>
      <c r="N39" s="24"/>
    </row>
    <row r="40" spans="1:30" x14ac:dyDescent="0.2">
      <c r="A40" s="19">
        <v>27</v>
      </c>
      <c r="B40" s="19">
        <v>6401140</v>
      </c>
      <c r="C40" s="32">
        <v>63.797229999999999</v>
      </c>
      <c r="D40" s="32">
        <v>-20.112839999999998</v>
      </c>
      <c r="E40" s="19" t="s">
        <v>15</v>
      </c>
      <c r="F40" s="22">
        <v>419</v>
      </c>
      <c r="G40" s="19">
        <v>63.798000000000002</v>
      </c>
      <c r="H40" s="19">
        <v>-20.113</v>
      </c>
      <c r="I40" s="23">
        <v>34</v>
      </c>
      <c r="J40" s="22">
        <v>510.2</v>
      </c>
      <c r="K40" s="19">
        <v>0.21</v>
      </c>
      <c r="L40" s="24">
        <v>3.64</v>
      </c>
      <c r="M40" s="24">
        <v>10.6</v>
      </c>
      <c r="N40" s="24"/>
    </row>
    <row r="41" spans="1:30" x14ac:dyDescent="0.2">
      <c r="A41" s="19">
        <v>27</v>
      </c>
      <c r="B41" s="19">
        <v>6401250</v>
      </c>
      <c r="C41" s="32">
        <v>65.301839999999999</v>
      </c>
      <c r="D41" s="32">
        <v>-20.106680000000001</v>
      </c>
      <c r="E41" s="19" t="s">
        <v>20</v>
      </c>
      <c r="F41" s="22">
        <v>458</v>
      </c>
      <c r="G41" s="19">
        <v>65.302000000000007</v>
      </c>
      <c r="H41" s="19">
        <v>-20.106999999999999</v>
      </c>
      <c r="I41" s="23">
        <v>19</v>
      </c>
      <c r="J41" s="22">
        <v>465.8</v>
      </c>
      <c r="K41" s="19">
        <v>0.21</v>
      </c>
      <c r="L41" s="24">
        <v>3.58</v>
      </c>
      <c r="M41" s="24">
        <v>13.6</v>
      </c>
      <c r="N41" s="24"/>
    </row>
    <row r="42" spans="1:30" x14ac:dyDescent="0.2">
      <c r="A42" s="19">
        <v>27</v>
      </c>
      <c r="B42" s="19">
        <v>6401070</v>
      </c>
      <c r="C42" s="32">
        <v>64.710719999999995</v>
      </c>
      <c r="D42" s="32">
        <v>-21.603370000000002</v>
      </c>
      <c r="E42" s="19" t="s">
        <v>10</v>
      </c>
      <c r="F42" s="22">
        <v>507</v>
      </c>
      <c r="G42" s="19">
        <v>64.709999999999994</v>
      </c>
      <c r="H42" s="19">
        <v>-21.600999999999999</v>
      </c>
      <c r="I42" s="23">
        <v>150</v>
      </c>
      <c r="J42" s="22">
        <v>493</v>
      </c>
      <c r="K42" s="19">
        <v>0.2</v>
      </c>
      <c r="L42" s="24">
        <v>4.79</v>
      </c>
      <c r="M42" s="24">
        <v>11.1</v>
      </c>
      <c r="N42" s="24"/>
    </row>
    <row r="43" spans="1:30" x14ac:dyDescent="0.2">
      <c r="A43" s="19">
        <v>27</v>
      </c>
      <c r="B43" s="19">
        <v>6401440</v>
      </c>
      <c r="C43" s="32">
        <v>63.780479999999997</v>
      </c>
      <c r="D43" s="32">
        <v>-19.417100000000001</v>
      </c>
      <c r="E43" s="19" t="s">
        <v>24</v>
      </c>
      <c r="F43" s="22">
        <v>517</v>
      </c>
      <c r="G43" s="19">
        <v>63.780999999999999</v>
      </c>
      <c r="H43" s="19">
        <v>-19.416</v>
      </c>
      <c r="I43" s="23">
        <v>74</v>
      </c>
      <c r="J43" s="22">
        <v>574.5</v>
      </c>
      <c r="K43" s="19">
        <v>0.21</v>
      </c>
      <c r="L43" s="24">
        <v>3.64</v>
      </c>
      <c r="M43" s="24">
        <v>11.5</v>
      </c>
      <c r="N43" s="24"/>
    </row>
    <row r="44" spans="1:30" x14ac:dyDescent="0.2">
      <c r="A44" s="19">
        <v>27</v>
      </c>
      <c r="B44" s="19">
        <v>6401150</v>
      </c>
      <c r="C44" s="32">
        <v>63.863239999999998</v>
      </c>
      <c r="D44" s="32">
        <v>-20.34065</v>
      </c>
      <c r="E44" s="19" t="s">
        <v>16</v>
      </c>
      <c r="F44" s="22">
        <v>621</v>
      </c>
      <c r="G44" s="19">
        <v>63.863</v>
      </c>
      <c r="H44" s="19">
        <v>-20.34</v>
      </c>
      <c r="I44" s="23">
        <v>34</v>
      </c>
      <c r="J44" s="22">
        <v>563.1</v>
      </c>
      <c r="K44" s="19">
        <v>0.22</v>
      </c>
      <c r="L44" s="24">
        <v>3.55</v>
      </c>
      <c r="M44" s="24">
        <v>10.7</v>
      </c>
      <c r="N44" s="24"/>
    </row>
    <row r="45" spans="1:30" x14ac:dyDescent="0.2">
      <c r="A45" s="19">
        <v>27</v>
      </c>
      <c r="B45" s="19">
        <v>6401111</v>
      </c>
      <c r="C45" s="32">
        <v>64.1601</v>
      </c>
      <c r="D45" s="32">
        <v>-20.55913</v>
      </c>
      <c r="E45" s="19" t="s">
        <v>13</v>
      </c>
      <c r="F45" s="25">
        <v>640</v>
      </c>
      <c r="G45" s="19">
        <v>64.16</v>
      </c>
      <c r="H45" s="19">
        <v>-20.559000000000001</v>
      </c>
      <c r="I45" s="23">
        <v>11</v>
      </c>
      <c r="J45" s="22">
        <v>704.1</v>
      </c>
      <c r="K45" s="19">
        <v>0.24</v>
      </c>
      <c r="L45" s="24">
        <v>3.61</v>
      </c>
      <c r="M45" s="24">
        <v>11.1</v>
      </c>
      <c r="N45" s="24"/>
    </row>
    <row r="46" spans="1:30" x14ac:dyDescent="0.2">
      <c r="A46" s="19">
        <v>27</v>
      </c>
      <c r="B46" s="19">
        <v>6401200</v>
      </c>
      <c r="C46" s="32">
        <v>65.329700000000003</v>
      </c>
      <c r="D46" s="32">
        <v>-19.085249999999998</v>
      </c>
      <c r="E46" s="19" t="s">
        <v>18</v>
      </c>
      <c r="F46" s="22">
        <v>844</v>
      </c>
      <c r="G46" s="19">
        <v>65.328999999999994</v>
      </c>
      <c r="H46" s="19">
        <v>-19.085000000000001</v>
      </c>
      <c r="I46" s="23">
        <v>61</v>
      </c>
      <c r="J46" s="22">
        <v>871.4</v>
      </c>
      <c r="K46" s="19">
        <v>0.25</v>
      </c>
      <c r="L46" s="24">
        <v>3.64</v>
      </c>
      <c r="M46" s="24">
        <v>11.5</v>
      </c>
      <c r="N46" s="24"/>
    </row>
    <row r="47" spans="1:30" x14ac:dyDescent="0.2">
      <c r="A47" s="19">
        <v>27</v>
      </c>
      <c r="B47" s="19">
        <v>6401400</v>
      </c>
      <c r="C47" s="32">
        <v>65.850700000000003</v>
      </c>
      <c r="D47" s="32">
        <v>-17.89667</v>
      </c>
      <c r="E47" s="19" t="s">
        <v>23</v>
      </c>
      <c r="F47" s="22">
        <v>1102</v>
      </c>
      <c r="G47" s="19">
        <v>65.849999999999994</v>
      </c>
      <c r="H47" s="19">
        <v>-17.896999999999998</v>
      </c>
      <c r="I47" s="23">
        <v>78</v>
      </c>
      <c r="J47" s="22">
        <v>1126.9000000000001</v>
      </c>
      <c r="K47" s="19">
        <v>0.22</v>
      </c>
      <c r="L47" s="24">
        <v>3.57</v>
      </c>
      <c r="M47" s="24">
        <v>11.6</v>
      </c>
      <c r="N47" s="24"/>
    </row>
    <row r="48" spans="1:30" x14ac:dyDescent="0.2">
      <c r="A48" s="19">
        <v>27</v>
      </c>
      <c r="B48" s="19">
        <v>6401080</v>
      </c>
      <c r="C48" s="32">
        <v>64.69229</v>
      </c>
      <c r="D48" s="32">
        <v>-21.41046</v>
      </c>
      <c r="E48" s="19" t="s">
        <v>11</v>
      </c>
      <c r="F48" s="22">
        <v>1574</v>
      </c>
      <c r="G48" s="19">
        <v>64.691999999999993</v>
      </c>
      <c r="H48" s="19">
        <v>-21.408999999999999</v>
      </c>
      <c r="I48" s="23">
        <v>66</v>
      </c>
      <c r="J48" s="22">
        <v>1718.7</v>
      </c>
      <c r="K48" s="19">
        <v>0.26</v>
      </c>
      <c r="L48" s="24">
        <v>3.62</v>
      </c>
      <c r="M48" s="24">
        <v>10.8</v>
      </c>
      <c r="N48" s="24"/>
    </row>
    <row r="49" spans="1:14" x14ac:dyDescent="0.2">
      <c r="A49" s="19">
        <v>27</v>
      </c>
      <c r="B49" s="19">
        <v>6401240</v>
      </c>
      <c r="C49" s="32">
        <v>65.49006</v>
      </c>
      <c r="D49" s="32">
        <v>-20.112839999999998</v>
      </c>
      <c r="E49" s="19" t="s">
        <v>19</v>
      </c>
      <c r="F49" s="22">
        <v>1699</v>
      </c>
      <c r="G49" s="19">
        <v>65.524000000000001</v>
      </c>
      <c r="H49" s="19">
        <v>-20.093</v>
      </c>
      <c r="I49" s="23">
        <v>3900</v>
      </c>
      <c r="J49" s="22">
        <v>126.4</v>
      </c>
      <c r="K49" s="19">
        <v>0.18</v>
      </c>
      <c r="L49" s="24">
        <v>3.51</v>
      </c>
      <c r="M49" s="24">
        <v>11.8</v>
      </c>
      <c r="N49" s="24"/>
    </row>
    <row r="50" spans="1:14" x14ac:dyDescent="0.2">
      <c r="A50" s="19">
        <v>27</v>
      </c>
      <c r="B50" s="19">
        <v>6401703</v>
      </c>
      <c r="C50" s="32">
        <v>65.060739999999996</v>
      </c>
      <c r="D50" s="32">
        <v>-16.211870000000001</v>
      </c>
      <c r="E50" s="19" t="s">
        <v>30</v>
      </c>
      <c r="F50" s="22">
        <v>2023</v>
      </c>
      <c r="G50" s="19">
        <v>65.06</v>
      </c>
      <c r="H50" s="19">
        <v>-16.212</v>
      </c>
      <c r="I50" s="23">
        <v>83</v>
      </c>
      <c r="J50" s="22">
        <v>1771.1</v>
      </c>
      <c r="K50" s="19">
        <v>0.28999999999999998</v>
      </c>
      <c r="L50" s="24">
        <v>3.58</v>
      </c>
      <c r="M50" s="24">
        <v>12.7</v>
      </c>
      <c r="N50" s="24"/>
    </row>
    <row r="51" spans="1:14" x14ac:dyDescent="0.2">
      <c r="A51" s="19">
        <v>27</v>
      </c>
      <c r="B51" s="19">
        <v>6401610</v>
      </c>
      <c r="C51" s="32">
        <v>65.370760000000004</v>
      </c>
      <c r="D51" s="32">
        <v>-17.346910000000001</v>
      </c>
      <c r="E51" s="19" t="s">
        <v>28</v>
      </c>
      <c r="F51" s="22">
        <v>2163</v>
      </c>
      <c r="G51" s="19">
        <v>65.37</v>
      </c>
      <c r="H51" s="19">
        <v>-17.347999999999999</v>
      </c>
      <c r="I51" s="23">
        <v>89</v>
      </c>
      <c r="J51" s="22">
        <v>1925.3</v>
      </c>
      <c r="K51" s="19">
        <v>0.33</v>
      </c>
      <c r="L51" s="24">
        <v>3.61</v>
      </c>
      <c r="M51" s="24">
        <v>13.9</v>
      </c>
      <c r="N51" s="24"/>
    </row>
    <row r="52" spans="1:14" x14ac:dyDescent="0.2">
      <c r="A52" s="19">
        <v>27</v>
      </c>
      <c r="B52" s="19">
        <v>6401800</v>
      </c>
      <c r="C52" s="32">
        <v>65.502529999999993</v>
      </c>
      <c r="D52" s="32">
        <v>-14.36201</v>
      </c>
      <c r="E52" s="19" t="s">
        <v>31</v>
      </c>
      <c r="F52" s="25">
        <v>2819</v>
      </c>
      <c r="G52" s="19">
        <v>65.501999999999995</v>
      </c>
      <c r="H52" s="19">
        <v>-14.362</v>
      </c>
      <c r="I52" s="23">
        <v>16</v>
      </c>
      <c r="J52" s="22">
        <v>2830.4</v>
      </c>
      <c r="K52" s="19">
        <v>0.42</v>
      </c>
      <c r="L52" s="24">
        <v>3.62</v>
      </c>
      <c r="M52" s="24">
        <v>13.3</v>
      </c>
      <c r="N52" s="24"/>
    </row>
    <row r="53" spans="1:14" x14ac:dyDescent="0.2">
      <c r="A53" s="19">
        <v>27</v>
      </c>
      <c r="B53" s="19">
        <v>6401702</v>
      </c>
      <c r="C53" s="32">
        <v>65.6233</v>
      </c>
      <c r="D53" s="32">
        <v>-16.189330000000002</v>
      </c>
      <c r="E53" s="19" t="s">
        <v>29</v>
      </c>
      <c r="F53" s="22">
        <v>5097</v>
      </c>
      <c r="G53" s="19">
        <v>65.623000000000005</v>
      </c>
      <c r="H53" s="19">
        <v>-16.189</v>
      </c>
      <c r="I53" s="23">
        <v>8.4</v>
      </c>
      <c r="J53" s="22">
        <v>5378</v>
      </c>
      <c r="K53" s="19">
        <v>0.32</v>
      </c>
      <c r="L53" s="24">
        <v>3.73</v>
      </c>
      <c r="M53" s="24">
        <v>14</v>
      </c>
      <c r="N53" s="24"/>
    </row>
    <row r="54" spans="1:14" x14ac:dyDescent="0.2">
      <c r="A54" s="19">
        <v>27</v>
      </c>
      <c r="B54" s="19">
        <v>6401090</v>
      </c>
      <c r="C54" s="32">
        <v>63.937959999999997</v>
      </c>
      <c r="D54" s="32">
        <v>-21.00666</v>
      </c>
      <c r="E54" s="19" t="s">
        <v>12</v>
      </c>
      <c r="F54" s="22">
        <v>5662</v>
      </c>
      <c r="G54" s="19">
        <v>63.938000000000002</v>
      </c>
      <c r="H54" s="19">
        <v>-21.006</v>
      </c>
      <c r="I54" s="23">
        <v>58</v>
      </c>
      <c r="J54" s="22">
        <v>5754.5</v>
      </c>
      <c r="K54" s="19">
        <v>0.32</v>
      </c>
      <c r="L54" s="24">
        <v>3.74</v>
      </c>
      <c r="M54" s="24">
        <v>11.1</v>
      </c>
      <c r="N54" s="24"/>
    </row>
    <row r="55" spans="1:14" s="26" customFormat="1" x14ac:dyDescent="0.2">
      <c r="A55" s="26">
        <v>27</v>
      </c>
      <c r="B55" s="26">
        <v>6401120</v>
      </c>
      <c r="C55" s="33">
        <v>63.933619999999998</v>
      </c>
      <c r="D55" s="33">
        <v>-20.631350000000001</v>
      </c>
      <c r="E55" s="26" t="s">
        <v>14</v>
      </c>
      <c r="F55" s="27">
        <v>7314</v>
      </c>
      <c r="G55" s="26">
        <v>63.933999999999997</v>
      </c>
      <c r="H55" s="26">
        <v>-20.63</v>
      </c>
      <c r="I55" s="28">
        <v>90</v>
      </c>
      <c r="J55" s="22">
        <v>7276.1</v>
      </c>
      <c r="K55" s="19">
        <v>0.44</v>
      </c>
      <c r="L55" s="29">
        <v>3.76</v>
      </c>
      <c r="M55" s="29">
        <v>10.8</v>
      </c>
      <c r="N55" s="24"/>
    </row>
    <row r="56" spans="1:14" x14ac:dyDescent="0.2">
      <c r="A56" s="19">
        <v>62</v>
      </c>
      <c r="B56" s="19">
        <v>3649511</v>
      </c>
      <c r="C56" s="32">
        <v>-15.9222</v>
      </c>
      <c r="D56" s="32">
        <v>-50.171700000000001</v>
      </c>
      <c r="E56" s="19" t="s">
        <v>36</v>
      </c>
      <c r="F56" s="22">
        <v>231</v>
      </c>
      <c r="G56" s="19">
        <v>-15.922000000000001</v>
      </c>
      <c r="H56" s="19">
        <v>-50.171999999999997</v>
      </c>
      <c r="I56" s="23">
        <v>33</v>
      </c>
      <c r="J56" s="22">
        <v>228.5</v>
      </c>
      <c r="K56" s="19">
        <v>0.15</v>
      </c>
      <c r="L56" s="24">
        <v>27.27</v>
      </c>
      <c r="M56" s="24">
        <v>49.3</v>
      </c>
      <c r="N56" s="24"/>
    </row>
    <row r="57" spans="1:14" x14ac:dyDescent="0.2">
      <c r="A57" s="19">
        <v>62</v>
      </c>
      <c r="B57" s="19">
        <v>3627360</v>
      </c>
      <c r="C57" s="32">
        <v>-9.8869000000000007</v>
      </c>
      <c r="D57" s="32">
        <v>-62.984699999999997</v>
      </c>
      <c r="E57" s="19" t="s">
        <v>35</v>
      </c>
      <c r="F57" s="22">
        <v>989</v>
      </c>
      <c r="G57" s="19">
        <v>-9.8870000000000005</v>
      </c>
      <c r="H57" s="19">
        <v>-62.984999999999999</v>
      </c>
      <c r="I57" s="23">
        <v>74</v>
      </c>
      <c r="J57" s="22">
        <v>992.9</v>
      </c>
      <c r="K57" s="19">
        <v>0.26</v>
      </c>
      <c r="L57" s="24">
        <v>31.84</v>
      </c>
      <c r="M57" s="24">
        <v>51.3</v>
      </c>
      <c r="N57" s="24"/>
    </row>
    <row r="58" spans="1:14" x14ac:dyDescent="0.2">
      <c r="A58" s="19">
        <v>62</v>
      </c>
      <c r="B58" s="19">
        <v>3618121</v>
      </c>
      <c r="C58" s="32">
        <v>0.24940000000000001</v>
      </c>
      <c r="D58" s="32">
        <v>-69.784999999999997</v>
      </c>
      <c r="E58" s="19" t="s">
        <v>37</v>
      </c>
      <c r="F58" s="22">
        <v>1617</v>
      </c>
      <c r="G58" s="19">
        <v>0.248</v>
      </c>
      <c r="H58" s="19">
        <v>-69.784999999999997</v>
      </c>
      <c r="I58" s="23">
        <v>120</v>
      </c>
      <c r="J58" s="22">
        <v>1968.7</v>
      </c>
      <c r="K58" s="19">
        <v>0.33</v>
      </c>
      <c r="L58" s="24">
        <v>23.41</v>
      </c>
      <c r="M58" s="24">
        <v>65.099999999999994</v>
      </c>
      <c r="N58" s="24"/>
    </row>
    <row r="59" spans="1:14" x14ac:dyDescent="0.2">
      <c r="A59" s="19">
        <v>62</v>
      </c>
      <c r="B59" s="19">
        <v>3624320</v>
      </c>
      <c r="C59" s="32">
        <v>-7.9511000000000003</v>
      </c>
      <c r="D59" s="32">
        <v>-71.482200000000006</v>
      </c>
      <c r="E59" s="19" t="s">
        <v>38</v>
      </c>
      <c r="F59" s="22">
        <v>2041</v>
      </c>
      <c r="G59" s="19">
        <v>-7.952</v>
      </c>
      <c r="H59" s="19">
        <v>-71.481999999999999</v>
      </c>
      <c r="I59" s="23">
        <v>86</v>
      </c>
      <c r="J59" s="22">
        <v>2075.4</v>
      </c>
      <c r="K59" s="19">
        <v>0.33</v>
      </c>
      <c r="L59" s="24">
        <v>25.97</v>
      </c>
      <c r="M59" s="24">
        <v>72.099999999999994</v>
      </c>
      <c r="N59" s="24"/>
    </row>
    <row r="60" spans="1:14" x14ac:dyDescent="0.2">
      <c r="A60" s="19">
        <v>62</v>
      </c>
      <c r="B60" s="19">
        <v>3627451</v>
      </c>
      <c r="C60" s="32">
        <v>-11.748900000000001</v>
      </c>
      <c r="D60" s="32">
        <v>-60.867800000000003</v>
      </c>
      <c r="E60" s="19" t="s">
        <v>39</v>
      </c>
      <c r="F60" s="22">
        <v>4360</v>
      </c>
      <c r="G60" s="19">
        <v>-11.750999999999999</v>
      </c>
      <c r="H60" s="19">
        <v>-60.868000000000002</v>
      </c>
      <c r="I60" s="23">
        <v>220</v>
      </c>
      <c r="J60" s="22">
        <v>4338.3</v>
      </c>
      <c r="K60" s="19">
        <v>0.28000000000000003</v>
      </c>
      <c r="L60" s="24">
        <v>29.58</v>
      </c>
      <c r="M60" s="24">
        <v>59.8</v>
      </c>
      <c r="N60" s="24"/>
    </row>
    <row r="61" spans="1:14" x14ac:dyDescent="0.2">
      <c r="A61" s="19">
        <v>62</v>
      </c>
      <c r="B61" s="19">
        <v>3617800</v>
      </c>
      <c r="C61" s="32">
        <v>-15.2</v>
      </c>
      <c r="D61" s="32">
        <v>-59.33</v>
      </c>
      <c r="E61" s="19" t="s">
        <v>40</v>
      </c>
      <c r="F61" s="22">
        <v>5050</v>
      </c>
      <c r="G61" s="19">
        <v>-15.215999999999999</v>
      </c>
      <c r="H61" s="19">
        <v>-59.329000000000001</v>
      </c>
      <c r="I61" s="23">
        <v>1800</v>
      </c>
      <c r="J61" s="22">
        <v>2391.4</v>
      </c>
      <c r="K61" s="19">
        <v>0.26</v>
      </c>
      <c r="L61" s="24">
        <v>26.26</v>
      </c>
      <c r="M61" s="24">
        <v>52.7</v>
      </c>
      <c r="N61" s="24"/>
    </row>
    <row r="62" spans="1:14" x14ac:dyDescent="0.2">
      <c r="A62" s="19">
        <v>62</v>
      </c>
      <c r="B62" s="19">
        <v>3649630</v>
      </c>
      <c r="C62" s="32">
        <v>-12.883599999999999</v>
      </c>
      <c r="D62" s="32">
        <v>-50.8322</v>
      </c>
      <c r="E62" s="19" t="s">
        <v>41</v>
      </c>
      <c r="F62" s="25">
        <v>8039</v>
      </c>
      <c r="G62" s="19">
        <v>-12.884</v>
      </c>
      <c r="H62" s="19">
        <v>-50.831000000000003</v>
      </c>
      <c r="I62" s="23">
        <v>160</v>
      </c>
      <c r="J62" s="22">
        <v>10838.9</v>
      </c>
      <c r="K62" s="19">
        <v>0.35</v>
      </c>
      <c r="L62" s="24">
        <v>24.4</v>
      </c>
      <c r="M62" s="24">
        <v>57.3</v>
      </c>
      <c r="N62" s="24"/>
    </row>
    <row r="63" spans="1:14" x14ac:dyDescent="0.2">
      <c r="A63" s="19">
        <v>62</v>
      </c>
      <c r="B63" s="19">
        <v>3618731</v>
      </c>
      <c r="C63" s="32">
        <v>2.7317</v>
      </c>
      <c r="D63" s="32">
        <v>-62.017200000000003</v>
      </c>
      <c r="E63" s="19" t="s">
        <v>42</v>
      </c>
      <c r="F63" s="22">
        <v>9300</v>
      </c>
      <c r="G63" s="19">
        <v>2.7309999999999999</v>
      </c>
      <c r="H63" s="19">
        <v>-62.017000000000003</v>
      </c>
      <c r="I63" s="23">
        <v>110</v>
      </c>
      <c r="J63" s="22">
        <v>9626</v>
      </c>
      <c r="K63" s="19">
        <v>0.36</v>
      </c>
      <c r="L63" s="24">
        <v>25.44</v>
      </c>
      <c r="M63" s="24">
        <v>63.5</v>
      </c>
      <c r="N63" s="24"/>
    </row>
    <row r="64" spans="1:14" x14ac:dyDescent="0.2">
      <c r="A64" s="19">
        <v>62</v>
      </c>
      <c r="B64" s="19">
        <v>3649012</v>
      </c>
      <c r="C64" s="32">
        <v>-15.27528</v>
      </c>
      <c r="D64" s="32">
        <v>-49.551940000000002</v>
      </c>
      <c r="E64" s="19" t="s">
        <v>44</v>
      </c>
      <c r="F64" s="22">
        <v>10538</v>
      </c>
      <c r="G64" s="19">
        <v>-15.276</v>
      </c>
      <c r="H64" s="19">
        <v>-49.552999999999997</v>
      </c>
      <c r="I64" s="23">
        <v>160</v>
      </c>
      <c r="J64" s="22">
        <v>10601.9</v>
      </c>
      <c r="K64" s="19">
        <v>0.3</v>
      </c>
      <c r="L64" s="24">
        <v>23.45</v>
      </c>
      <c r="M64" s="24">
        <v>54.9</v>
      </c>
      <c r="N64" s="24"/>
    </row>
    <row r="65" spans="1:14" x14ac:dyDescent="0.2">
      <c r="A65" s="19">
        <v>62</v>
      </c>
      <c r="B65" s="19">
        <v>3618730</v>
      </c>
      <c r="C65" s="32">
        <v>2.8708</v>
      </c>
      <c r="D65" s="32">
        <v>-61.440600000000003</v>
      </c>
      <c r="E65" s="19" t="s">
        <v>43</v>
      </c>
      <c r="F65" s="22">
        <v>13658</v>
      </c>
      <c r="G65" s="19">
        <v>2.871</v>
      </c>
      <c r="H65" s="19">
        <v>-61.44</v>
      </c>
      <c r="I65" s="23">
        <v>67</v>
      </c>
      <c r="J65" s="22">
        <v>12459</v>
      </c>
      <c r="K65" s="19">
        <v>0.42</v>
      </c>
      <c r="L65" s="24">
        <v>24.68</v>
      </c>
      <c r="M65" s="24">
        <v>63.6</v>
      </c>
      <c r="N65" s="24"/>
    </row>
    <row r="66" spans="1:14" x14ac:dyDescent="0.2">
      <c r="A66" s="19">
        <v>62</v>
      </c>
      <c r="B66" s="19">
        <v>3649321</v>
      </c>
      <c r="C66" s="32">
        <v>-9.9633000000000003</v>
      </c>
      <c r="D66" s="32">
        <v>-47.674700000000001</v>
      </c>
      <c r="E66" s="19" t="s">
        <v>46</v>
      </c>
      <c r="F66" s="22">
        <v>18500</v>
      </c>
      <c r="G66" s="19">
        <v>-9.9619999999999997</v>
      </c>
      <c r="H66" s="19">
        <v>-47.673000000000002</v>
      </c>
      <c r="I66" s="23">
        <v>170</v>
      </c>
      <c r="J66" s="22">
        <v>18050.5</v>
      </c>
      <c r="K66" s="19">
        <v>0.4</v>
      </c>
      <c r="L66" s="24">
        <v>25.03</v>
      </c>
      <c r="M66" s="24">
        <v>58.8</v>
      </c>
      <c r="N66" s="24"/>
    </row>
    <row r="67" spans="1:14" x14ac:dyDescent="0.2">
      <c r="A67" s="19">
        <v>62</v>
      </c>
      <c r="B67" s="19">
        <v>3627550</v>
      </c>
      <c r="C67" s="32">
        <v>-9.8169000000000004</v>
      </c>
      <c r="D67" s="32">
        <v>-60.691899999999997</v>
      </c>
      <c r="E67" s="19" t="s">
        <v>45</v>
      </c>
      <c r="F67" s="22">
        <v>24300</v>
      </c>
      <c r="G67" s="19">
        <v>-9.8149999999999995</v>
      </c>
      <c r="H67" s="19">
        <v>-60.691000000000003</v>
      </c>
      <c r="I67" s="23">
        <v>240</v>
      </c>
      <c r="J67" s="22">
        <v>24336.5</v>
      </c>
      <c r="K67" s="19">
        <v>0.56000000000000005</v>
      </c>
      <c r="L67" s="24">
        <v>23.01</v>
      </c>
      <c r="M67" s="24">
        <v>54.8</v>
      </c>
      <c r="N67" s="24"/>
    </row>
    <row r="68" spans="1:14" x14ac:dyDescent="0.2">
      <c r="A68" s="19">
        <v>62</v>
      </c>
      <c r="B68" s="19">
        <v>3624200</v>
      </c>
      <c r="C68" s="32">
        <v>-4.2210999999999999</v>
      </c>
      <c r="D68" s="32">
        <v>-67.892499999999998</v>
      </c>
      <c r="E68" s="19" t="s">
        <v>48</v>
      </c>
      <c r="F68" s="22">
        <v>35880</v>
      </c>
      <c r="G68" s="19">
        <v>-4.2220000000000004</v>
      </c>
      <c r="H68" s="19">
        <v>-67.891999999999996</v>
      </c>
      <c r="I68" s="23">
        <v>180</v>
      </c>
      <c r="J68" s="22">
        <v>35413.5</v>
      </c>
      <c r="K68" s="19">
        <v>0.54</v>
      </c>
      <c r="L68" s="24">
        <v>22.86</v>
      </c>
      <c r="M68" s="24">
        <v>52.9</v>
      </c>
      <c r="N68" s="24"/>
    </row>
    <row r="69" spans="1:14" x14ac:dyDescent="0.2">
      <c r="A69" s="19">
        <v>62</v>
      </c>
      <c r="B69" s="19">
        <v>3630200</v>
      </c>
      <c r="C69" s="32">
        <v>-6.7453000000000003</v>
      </c>
      <c r="D69" s="32">
        <v>-51.773600000000002</v>
      </c>
      <c r="E69" s="19" t="s">
        <v>47</v>
      </c>
      <c r="F69" s="22">
        <v>43030</v>
      </c>
      <c r="G69" s="19">
        <v>-6.7430000000000003</v>
      </c>
      <c r="H69" s="19">
        <v>-51.771000000000001</v>
      </c>
      <c r="I69" s="23">
        <v>380</v>
      </c>
      <c r="J69" s="22">
        <v>42439</v>
      </c>
      <c r="K69" s="19">
        <v>0.61</v>
      </c>
      <c r="L69" s="24">
        <v>24.47</v>
      </c>
      <c r="M69" s="24">
        <v>52.3</v>
      </c>
      <c r="N69" s="24"/>
    </row>
    <row r="70" spans="1:14" x14ac:dyDescent="0.2">
      <c r="A70" s="19">
        <v>62</v>
      </c>
      <c r="B70" s="19">
        <v>3627551</v>
      </c>
      <c r="C70" s="32">
        <v>-7.5928000000000004</v>
      </c>
      <c r="D70" s="32">
        <v>-60.709400000000002</v>
      </c>
      <c r="E70" s="19" t="s">
        <v>49</v>
      </c>
      <c r="F70" s="22">
        <v>59400</v>
      </c>
      <c r="G70" s="19">
        <v>-7.5940000000000003</v>
      </c>
      <c r="H70" s="19">
        <v>-60.709000000000003</v>
      </c>
      <c r="I70" s="23">
        <v>150</v>
      </c>
      <c r="J70" s="22">
        <v>59299.9</v>
      </c>
      <c r="K70" s="19">
        <v>0.7</v>
      </c>
      <c r="L70" s="24">
        <v>23.09</v>
      </c>
      <c r="M70" s="24">
        <v>55.3</v>
      </c>
      <c r="N70" s="24"/>
    </row>
    <row r="71" spans="1:14" x14ac:dyDescent="0.2">
      <c r="A71" s="19">
        <v>62</v>
      </c>
      <c r="B71" s="19">
        <v>3630150</v>
      </c>
      <c r="C71" s="32">
        <v>-5.6966999999999999</v>
      </c>
      <c r="D71" s="32">
        <v>-54.245600000000003</v>
      </c>
      <c r="E71" s="19" t="s">
        <v>50</v>
      </c>
      <c r="F71" s="22">
        <v>60058</v>
      </c>
      <c r="G71" s="19">
        <v>-5.6970000000000001</v>
      </c>
      <c r="H71" s="19">
        <v>-54.241999999999997</v>
      </c>
      <c r="I71" s="23">
        <v>350</v>
      </c>
      <c r="J71" s="22">
        <v>58657.1</v>
      </c>
      <c r="K71" s="19">
        <v>0.56000000000000005</v>
      </c>
      <c r="L71" s="24">
        <v>26.21</v>
      </c>
      <c r="M71" s="24">
        <v>56.3</v>
      </c>
      <c r="N71" s="24"/>
    </row>
    <row r="72" spans="1:14" x14ac:dyDescent="0.2">
      <c r="A72" s="19">
        <v>62</v>
      </c>
      <c r="B72" s="19">
        <v>3649409</v>
      </c>
      <c r="C72" s="32">
        <v>-11.6181</v>
      </c>
      <c r="D72" s="32">
        <v>-50.662500000000001</v>
      </c>
      <c r="E72" s="19" t="s">
        <v>52</v>
      </c>
      <c r="F72" s="22">
        <v>193923</v>
      </c>
      <c r="G72" s="19">
        <v>-11.619</v>
      </c>
      <c r="H72" s="19">
        <v>-50.661000000000001</v>
      </c>
      <c r="I72" s="23">
        <v>220</v>
      </c>
      <c r="J72" s="22">
        <v>193795.8</v>
      </c>
      <c r="K72" s="19">
        <v>0.87</v>
      </c>
      <c r="L72" s="24">
        <v>26.34</v>
      </c>
      <c r="M72" s="24">
        <v>52.7</v>
      </c>
      <c r="N72" s="24"/>
    </row>
    <row r="73" spans="1:14" x14ac:dyDescent="0.2">
      <c r="A73" s="19">
        <v>62</v>
      </c>
      <c r="B73" s="19">
        <v>3618052</v>
      </c>
      <c r="C73" s="32">
        <v>-0.2006</v>
      </c>
      <c r="D73" s="32">
        <v>-66.802199999999999</v>
      </c>
      <c r="E73" s="19" t="s">
        <v>51</v>
      </c>
      <c r="F73" s="22">
        <v>194462</v>
      </c>
      <c r="G73" s="19">
        <v>-0.19500000000000001</v>
      </c>
      <c r="H73" s="19">
        <v>-66.801000000000002</v>
      </c>
      <c r="I73" s="23">
        <v>640</v>
      </c>
      <c r="J73" s="22">
        <v>193617.8</v>
      </c>
      <c r="K73" s="19">
        <v>1</v>
      </c>
      <c r="L73" s="24">
        <v>30.72</v>
      </c>
      <c r="M73" s="24">
        <v>54.7</v>
      </c>
      <c r="N73" s="24"/>
    </row>
    <row r="74" spans="1:14" x14ac:dyDescent="0.2">
      <c r="A74" s="19">
        <v>62</v>
      </c>
      <c r="B74" s="19">
        <v>3649905</v>
      </c>
      <c r="C74" s="32">
        <v>-8.3917000000000002</v>
      </c>
      <c r="D74" s="32">
        <v>-48.111400000000003</v>
      </c>
      <c r="E74" s="19" t="s">
        <v>85</v>
      </c>
      <c r="F74" s="22">
        <v>243841</v>
      </c>
      <c r="G74" s="19">
        <v>-8.391</v>
      </c>
      <c r="H74" s="19">
        <v>-48.110999999999997</v>
      </c>
      <c r="I74" s="23">
        <v>110</v>
      </c>
      <c r="J74" s="22">
        <v>241870.5</v>
      </c>
      <c r="K74" s="19">
        <v>1.1200000000000001</v>
      </c>
      <c r="L74" s="24">
        <v>39.820770502090397</v>
      </c>
      <c r="M74" s="24">
        <v>51.7</v>
      </c>
      <c r="N74" s="24"/>
    </row>
    <row r="75" spans="1:14" x14ac:dyDescent="0.2">
      <c r="A75" s="19">
        <v>62</v>
      </c>
      <c r="B75" s="19">
        <v>3649416</v>
      </c>
      <c r="C75" s="32">
        <v>-8.2693999999999992</v>
      </c>
      <c r="D75" s="32">
        <v>-49.259399999999999</v>
      </c>
      <c r="E75" s="19" t="s">
        <v>86</v>
      </c>
      <c r="F75" s="22">
        <v>320290</v>
      </c>
      <c r="G75" s="19">
        <v>-8.27</v>
      </c>
      <c r="H75" s="19">
        <v>-49.253999999999998</v>
      </c>
      <c r="I75" s="23">
        <v>580</v>
      </c>
      <c r="J75" s="22">
        <v>325052</v>
      </c>
      <c r="K75" s="19">
        <v>1.55</v>
      </c>
      <c r="L75" s="24">
        <v>33.1678690910339</v>
      </c>
      <c r="M75" s="24">
        <v>52.9</v>
      </c>
      <c r="N75" s="24"/>
    </row>
    <row r="76" spans="1:14" x14ac:dyDescent="0.2">
      <c r="A76" s="19">
        <v>62</v>
      </c>
      <c r="B76" s="19">
        <v>3629180</v>
      </c>
      <c r="C76" s="32">
        <v>-7.3396999999999997</v>
      </c>
      <c r="D76" s="32">
        <v>-58.155299999999997</v>
      </c>
      <c r="E76" s="19" t="s">
        <v>54</v>
      </c>
      <c r="F76" s="22">
        <v>333000</v>
      </c>
      <c r="G76" s="19">
        <v>-7.3360000000000003</v>
      </c>
      <c r="H76" s="19">
        <v>-58.151000000000003</v>
      </c>
      <c r="I76" s="23">
        <v>650</v>
      </c>
      <c r="J76" s="22">
        <v>332936.90000000002</v>
      </c>
      <c r="K76" s="19">
        <v>1.25</v>
      </c>
      <c r="L76" s="24">
        <v>29.6</v>
      </c>
      <c r="M76" s="24">
        <v>52.5</v>
      </c>
      <c r="N76" s="24"/>
    </row>
    <row r="77" spans="1:14" ht="15" customHeight="1" x14ac:dyDescent="0.2">
      <c r="A77" s="19">
        <v>62</v>
      </c>
      <c r="B77" s="19">
        <v>3630050</v>
      </c>
      <c r="C77" s="32">
        <v>-3.2147000000000001</v>
      </c>
      <c r="D77" s="32">
        <v>-52.212200000000003</v>
      </c>
      <c r="E77" s="19" t="s">
        <v>94</v>
      </c>
      <c r="F77" s="23">
        <v>446203</v>
      </c>
      <c r="G77" s="19">
        <v>-3.2370000000000001</v>
      </c>
      <c r="H77" s="19">
        <v>-52.076999999999998</v>
      </c>
      <c r="I77" s="23">
        <v>9900</v>
      </c>
      <c r="J77" s="22">
        <v>447865.3</v>
      </c>
      <c r="K77" s="19">
        <v>1.95</v>
      </c>
      <c r="L77" s="24">
        <v>34.4</v>
      </c>
      <c r="M77" s="24">
        <v>53.3</v>
      </c>
      <c r="N77" s="24"/>
    </row>
    <row r="78" spans="1:14" ht="12.75" customHeight="1" x14ac:dyDescent="0.2">
      <c r="A78" s="19">
        <v>62</v>
      </c>
      <c r="B78" s="19">
        <v>3627110</v>
      </c>
      <c r="C78" s="32">
        <v>-10.7925</v>
      </c>
      <c r="D78" s="32">
        <v>-65.347800000000007</v>
      </c>
      <c r="E78" s="19" t="s">
        <v>87</v>
      </c>
      <c r="F78" s="22">
        <v>609000</v>
      </c>
      <c r="G78" s="19">
        <v>-10.794</v>
      </c>
      <c r="H78" s="19">
        <v>-65.349000000000004</v>
      </c>
      <c r="I78" s="23">
        <v>240</v>
      </c>
      <c r="J78" s="22">
        <v>609479.9</v>
      </c>
      <c r="K78" s="19">
        <v>2.4500000000000002</v>
      </c>
      <c r="L78" s="24">
        <v>37.468556880950899</v>
      </c>
      <c r="M78" s="24">
        <v>56.9</v>
      </c>
      <c r="N78" s="24"/>
    </row>
    <row r="79" spans="1:14" x14ac:dyDescent="0.2">
      <c r="A79" s="19">
        <v>62</v>
      </c>
      <c r="B79" s="19">
        <v>3649950</v>
      </c>
      <c r="C79" s="32">
        <v>-3.7577799999999999</v>
      </c>
      <c r="D79" s="32">
        <v>-49.653329999999997</v>
      </c>
      <c r="E79" s="19" t="s">
        <v>88</v>
      </c>
      <c r="F79" s="22">
        <v>742300</v>
      </c>
      <c r="G79" s="19">
        <v>-3.7589999999999999</v>
      </c>
      <c r="H79" s="19">
        <v>-49.658000000000001</v>
      </c>
      <c r="I79" s="23">
        <v>490</v>
      </c>
      <c r="J79" s="22">
        <v>758553.59999999998</v>
      </c>
      <c r="K79" s="19">
        <v>4.49</v>
      </c>
      <c r="L79" s="24">
        <v>39.089651823043802</v>
      </c>
      <c r="M79" s="24">
        <v>56.3</v>
      </c>
      <c r="N79" s="24"/>
    </row>
    <row r="80" spans="1:14" x14ac:dyDescent="0.2">
      <c r="A80" s="19">
        <v>62</v>
      </c>
      <c r="B80" s="19">
        <v>3627035</v>
      </c>
      <c r="C80" s="32">
        <v>-7.5027999999999997</v>
      </c>
      <c r="D80" s="32">
        <v>-63.018300000000004</v>
      </c>
      <c r="E80" s="19" t="s">
        <v>53</v>
      </c>
      <c r="F80" s="22">
        <v>1090000</v>
      </c>
      <c r="G80" s="19">
        <v>-7.5019999999999998</v>
      </c>
      <c r="H80" s="19">
        <v>-63.015999999999998</v>
      </c>
      <c r="I80" s="23">
        <v>300</v>
      </c>
      <c r="J80" s="22">
        <v>1089047.5</v>
      </c>
      <c r="K80" s="19">
        <v>3.95</v>
      </c>
      <c r="L80" s="24">
        <v>47.02</v>
      </c>
      <c r="M80" s="24">
        <v>62.3</v>
      </c>
      <c r="N80" s="24"/>
    </row>
    <row r="81" spans="1:14" x14ac:dyDescent="0.2">
      <c r="A81" s="19">
        <v>62</v>
      </c>
      <c r="B81" s="19">
        <v>3625000</v>
      </c>
      <c r="C81" s="32">
        <v>-4.0578000000000003</v>
      </c>
      <c r="D81" s="32">
        <v>-63.027799999999999</v>
      </c>
      <c r="E81" s="19" t="s">
        <v>89</v>
      </c>
      <c r="F81" s="22">
        <v>1769000</v>
      </c>
      <c r="G81" s="19">
        <v>-4.0540000000000003</v>
      </c>
      <c r="H81" s="19">
        <v>-63.031999999999996</v>
      </c>
      <c r="I81" s="23">
        <v>590</v>
      </c>
      <c r="J81" s="22">
        <v>1775871.3</v>
      </c>
      <c r="K81" s="19">
        <v>4.57</v>
      </c>
      <c r="L81" s="24">
        <v>60.106283660000003</v>
      </c>
      <c r="M81" s="24">
        <v>68.900000000000006</v>
      </c>
      <c r="N81" s="24"/>
    </row>
    <row r="82" spans="1:14" x14ac:dyDescent="0.2">
      <c r="A82" s="19">
        <v>62</v>
      </c>
      <c r="B82" s="19">
        <v>3621000</v>
      </c>
      <c r="C82" s="32">
        <v>-3.3106</v>
      </c>
      <c r="D82" s="32">
        <v>-60.609400000000001</v>
      </c>
      <c r="E82" s="19" t="s">
        <v>90</v>
      </c>
      <c r="F82" s="22">
        <v>2147736</v>
      </c>
      <c r="G82" s="19">
        <v>-3.3330000000000002</v>
      </c>
      <c r="H82" s="19">
        <v>-60.6</v>
      </c>
      <c r="I82" s="23">
        <v>170</v>
      </c>
      <c r="J82" s="22">
        <v>2203638.7000000002</v>
      </c>
      <c r="K82" s="19">
        <v>6.29</v>
      </c>
      <c r="L82" s="24">
        <v>66.088881729999997</v>
      </c>
      <c r="M82" s="24">
        <v>49</v>
      </c>
      <c r="N82" s="24"/>
    </row>
    <row r="83" spans="1:14" x14ac:dyDescent="0.2">
      <c r="A83" s="19">
        <v>62</v>
      </c>
      <c r="B83" s="19">
        <v>3618001</v>
      </c>
      <c r="C83" s="32">
        <v>-3.1960999999999999</v>
      </c>
      <c r="D83" s="32">
        <v>-59.833599999999997</v>
      </c>
      <c r="E83" s="19" t="s">
        <v>91</v>
      </c>
      <c r="F83" s="22">
        <v>2583079</v>
      </c>
      <c r="G83" s="19">
        <v>-3.117</v>
      </c>
      <c r="H83" s="19">
        <v>-59.89</v>
      </c>
      <c r="I83" s="23">
        <v>170</v>
      </c>
      <c r="J83" s="22">
        <v>2918411.6</v>
      </c>
      <c r="K83" s="19">
        <v>6.67</v>
      </c>
      <c r="L83" s="24">
        <v>85.241885420000003</v>
      </c>
      <c r="M83" s="24">
        <v>53.6</v>
      </c>
      <c r="N83" s="24"/>
    </row>
    <row r="84" spans="1:14" x14ac:dyDescent="0.2">
      <c r="A84" s="19">
        <v>62</v>
      </c>
      <c r="B84" s="19">
        <v>3629001</v>
      </c>
      <c r="C84" s="32">
        <v>-1.9192</v>
      </c>
      <c r="D84" s="32">
        <v>-55.513100000000001</v>
      </c>
      <c r="E84" s="19" t="s">
        <v>92</v>
      </c>
      <c r="F84" s="22">
        <v>4680000</v>
      </c>
      <c r="G84" s="19">
        <v>-1.927</v>
      </c>
      <c r="H84" s="19">
        <v>-55.518000000000001</v>
      </c>
      <c r="I84" s="23">
        <v>1000</v>
      </c>
      <c r="J84" s="22">
        <v>4672140</v>
      </c>
      <c r="K84" s="19">
        <v>10.119999999999999</v>
      </c>
      <c r="L84" s="24">
        <v>116.488173484802</v>
      </c>
      <c r="M84" s="24">
        <v>104</v>
      </c>
      <c r="N84" s="24"/>
    </row>
    <row r="85" spans="1:14" x14ac:dyDescent="0.2">
      <c r="A85" s="19">
        <v>62</v>
      </c>
      <c r="B85" s="19">
        <v>9</v>
      </c>
      <c r="C85" s="32">
        <v>-0.437</v>
      </c>
      <c r="D85" s="32">
        <v>-50.738</v>
      </c>
      <c r="E85" s="19" t="s">
        <v>93</v>
      </c>
      <c r="F85" s="22">
        <v>6000000</v>
      </c>
      <c r="G85" s="19">
        <v>-0.437</v>
      </c>
      <c r="H85" s="19">
        <v>-50.738</v>
      </c>
      <c r="I85" s="23">
        <v>78</v>
      </c>
      <c r="J85" s="22">
        <v>5904942.9000000004</v>
      </c>
      <c r="K85" s="19">
        <v>12.12</v>
      </c>
      <c r="L85" s="24">
        <v>108.36</v>
      </c>
      <c r="M85" s="24">
        <v>120</v>
      </c>
      <c r="N85" s="24"/>
    </row>
    <row r="90" spans="1:14" x14ac:dyDescent="0.2">
      <c r="F90" s="19"/>
    </row>
    <row r="91" spans="1:14" x14ac:dyDescent="0.2">
      <c r="F91" s="19"/>
    </row>
    <row r="92" spans="1:14" x14ac:dyDescent="0.2">
      <c r="F92" s="19"/>
    </row>
    <row r="93" spans="1:14" x14ac:dyDescent="0.2">
      <c r="B93" s="19" t="s">
        <v>82</v>
      </c>
    </row>
  </sheetData>
  <sortState xmlns:xlrd2="http://schemas.microsoft.com/office/spreadsheetml/2017/richdata2" ref="A56:M84">
    <sortCondition ref="J56:J84"/>
  </sortState>
  <pageMargins left="0.7" right="0.7" top="0.75" bottom="0.75" header="0.3" footer="0.3"/>
  <pageSetup scale="2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zoomScaleNormal="100" workbookViewId="0">
      <selection activeCell="B11" sqref="B11"/>
    </sheetView>
  </sheetViews>
  <sheetFormatPr defaultRowHeight="12.75" x14ac:dyDescent="0.2"/>
  <cols>
    <col min="1" max="1" width="10.5703125" style="19" customWidth="1"/>
    <col min="2" max="2" width="13.85546875" style="19" bestFit="1" customWidth="1"/>
    <col min="3" max="3" width="15" style="19" bestFit="1" customWidth="1"/>
    <col min="4" max="6" width="9.140625" style="19"/>
    <col min="7" max="10" width="10.28515625" style="19" customWidth="1"/>
    <col min="11" max="16384" width="9.140625" style="19"/>
  </cols>
  <sheetData>
    <row r="1" spans="1:18" ht="26.25" x14ac:dyDescent="0.4">
      <c r="A1" s="36" t="s">
        <v>124</v>
      </c>
    </row>
    <row r="2" spans="1:18" x14ac:dyDescent="0.2">
      <c r="K2" s="19" t="s">
        <v>131</v>
      </c>
      <c r="O2" s="19" t="s">
        <v>107</v>
      </c>
    </row>
    <row r="3" spans="1:18" ht="51" x14ac:dyDescent="0.2">
      <c r="A3" s="42" t="s">
        <v>0</v>
      </c>
      <c r="B3" s="42" t="s">
        <v>1</v>
      </c>
      <c r="C3" s="42" t="s">
        <v>2</v>
      </c>
      <c r="D3" s="42" t="s">
        <v>104</v>
      </c>
      <c r="E3" s="42" t="s">
        <v>125</v>
      </c>
      <c r="F3" s="42" t="s">
        <v>103</v>
      </c>
      <c r="G3" s="42" t="s">
        <v>126</v>
      </c>
      <c r="H3" s="42" t="s">
        <v>127</v>
      </c>
      <c r="I3" s="42" t="s">
        <v>129</v>
      </c>
      <c r="J3" s="42" t="s">
        <v>128</v>
      </c>
      <c r="K3" s="42" t="s">
        <v>102</v>
      </c>
      <c r="L3" s="42" t="s">
        <v>101</v>
      </c>
      <c r="M3" s="42" t="s">
        <v>113</v>
      </c>
      <c r="O3" s="19" t="s">
        <v>132</v>
      </c>
    </row>
    <row r="4" spans="1:18" x14ac:dyDescent="0.2">
      <c r="A4" s="19">
        <v>811</v>
      </c>
      <c r="B4" s="39">
        <v>-7.8541666666666696</v>
      </c>
      <c r="C4" s="39">
        <v>37.452499996666603</v>
      </c>
      <c r="D4" s="19">
        <v>11</v>
      </c>
      <c r="E4" s="19">
        <f>VLOOKUP(D4,fdir_metadata!$A$4:$E$64,2,FALSE)</f>
        <v>30000</v>
      </c>
      <c r="F4" s="19">
        <f>VLOOKUP(D4,fdir_metadata!$A$4:$E$64,3,FALSE)</f>
        <v>66000</v>
      </c>
      <c r="G4" s="40">
        <f>E4*F4/1000000000</f>
        <v>1.98</v>
      </c>
      <c r="H4" s="23">
        <v>84859.850784442096</v>
      </c>
      <c r="I4" s="23">
        <v>84859.9</v>
      </c>
      <c r="J4" s="31">
        <v>84859.9</v>
      </c>
      <c r="K4" s="24">
        <v>33.94</v>
      </c>
      <c r="L4" s="24">
        <v>66.599999999999994</v>
      </c>
      <c r="M4" s="19">
        <v>0.77</v>
      </c>
    </row>
    <row r="5" spans="1:18" x14ac:dyDescent="0.2">
      <c r="A5" s="19">
        <v>812</v>
      </c>
      <c r="B5" s="39">
        <v>-23.497499996666601</v>
      </c>
      <c r="C5" s="39">
        <v>27.226666666666599</v>
      </c>
      <c r="D5" s="19">
        <v>12</v>
      </c>
      <c r="E5" s="19">
        <f>VLOOKUP(D5,fdir_metadata!$A$4:$E$64,2,FALSE)</f>
        <v>36000</v>
      </c>
      <c r="F5" s="19">
        <f>VLOOKUP(D5,fdir_metadata!$A$4:$E$64,3,FALSE)</f>
        <v>36000</v>
      </c>
      <c r="G5" s="40">
        <f t="shared" ref="G5:G49" si="0">E5*F5/1000000000</f>
        <v>1.296</v>
      </c>
      <c r="H5" s="23">
        <v>77929.942548950799</v>
      </c>
      <c r="I5" s="23">
        <v>77929.899999999994</v>
      </c>
      <c r="J5" s="31">
        <v>77929.899999999994</v>
      </c>
      <c r="K5" s="24">
        <v>16.170000000000002</v>
      </c>
      <c r="L5" s="24">
        <v>35.6</v>
      </c>
      <c r="M5" s="19">
        <v>0.46</v>
      </c>
      <c r="P5" s="41"/>
      <c r="Q5" s="41"/>
      <c r="R5" s="41"/>
    </row>
    <row r="6" spans="1:18" x14ac:dyDescent="0.2">
      <c r="A6" s="19">
        <v>813</v>
      </c>
      <c r="B6" s="39">
        <v>1.6825000003333299</v>
      </c>
      <c r="C6" s="39">
        <v>26.7258333366666</v>
      </c>
      <c r="D6" s="19">
        <v>13</v>
      </c>
      <c r="E6" s="19">
        <f>VLOOKUP(D6,fdir_metadata!$A$4:$E$64,2,FALSE)</f>
        <v>36000</v>
      </c>
      <c r="F6" s="19">
        <f>VLOOKUP(D6,fdir_metadata!$A$4:$E$64,3,FALSE)</f>
        <v>36000</v>
      </c>
      <c r="G6" s="40">
        <f t="shared" si="0"/>
        <v>1.296</v>
      </c>
      <c r="H6" s="23">
        <v>85497.207839102295</v>
      </c>
      <c r="I6" s="23">
        <v>85497.2</v>
      </c>
      <c r="J6" s="31">
        <v>85497.2</v>
      </c>
      <c r="K6" s="24">
        <v>16.739999999999998</v>
      </c>
      <c r="L6" s="24">
        <v>37.299999999999997</v>
      </c>
      <c r="M6" s="19">
        <v>0.77</v>
      </c>
      <c r="P6" s="41"/>
      <c r="Q6" s="41"/>
      <c r="R6" s="41"/>
    </row>
    <row r="7" spans="1:18" x14ac:dyDescent="0.2">
      <c r="A7" s="19">
        <v>814</v>
      </c>
      <c r="B7" s="39">
        <v>10.9925000033333</v>
      </c>
      <c r="C7" s="39">
        <v>-2.8350000003333302</v>
      </c>
      <c r="D7" s="19">
        <v>14</v>
      </c>
      <c r="E7" s="19">
        <f>VLOOKUP(D7,fdir_metadata!$A$4:$E$64,2,FALSE)</f>
        <v>48000</v>
      </c>
      <c r="F7" s="19">
        <f>VLOOKUP(D7,fdir_metadata!$A$4:$E$64,3,FALSE)</f>
        <v>30000</v>
      </c>
      <c r="G7" s="40">
        <f t="shared" si="0"/>
        <v>1.44</v>
      </c>
      <c r="H7" s="23">
        <v>83527.2043477384</v>
      </c>
      <c r="I7" s="23">
        <v>83527.199999999997</v>
      </c>
      <c r="J7" s="31">
        <v>83527.199999999997</v>
      </c>
      <c r="K7" s="24">
        <v>19.05</v>
      </c>
      <c r="L7" s="24">
        <v>42</v>
      </c>
      <c r="M7" s="19">
        <v>0.51</v>
      </c>
    </row>
    <row r="8" spans="1:18" x14ac:dyDescent="0.2">
      <c r="A8" s="19">
        <v>815</v>
      </c>
      <c r="B8" s="39">
        <v>33.321666663333303</v>
      </c>
      <c r="C8" s="39">
        <v>6.0699999996666696</v>
      </c>
      <c r="D8" s="19">
        <v>15</v>
      </c>
      <c r="E8" s="19">
        <f>VLOOKUP(D8,fdir_metadata!$A$4:$E$64,2,FALSE)</f>
        <v>66000</v>
      </c>
      <c r="F8" s="19">
        <f>VLOOKUP(D8,fdir_metadata!$A$4:$E$64,3,FALSE)</f>
        <v>36000</v>
      </c>
      <c r="G8" s="40">
        <f t="shared" si="0"/>
        <v>2.3759999999999999</v>
      </c>
      <c r="H8" s="23">
        <v>74328.782226319105</v>
      </c>
      <c r="I8" s="23">
        <v>74328.800000000003</v>
      </c>
      <c r="J8" s="31">
        <v>74328.800000000003</v>
      </c>
      <c r="K8" s="24">
        <v>47.18</v>
      </c>
      <c r="L8" s="24">
        <v>68.400000000000006</v>
      </c>
      <c r="M8" s="19">
        <v>1.07</v>
      </c>
    </row>
    <row r="9" spans="1:18" x14ac:dyDescent="0.2">
      <c r="A9" s="19">
        <v>816</v>
      </c>
      <c r="B9" s="39">
        <v>17.033333333333299</v>
      </c>
      <c r="C9" s="39">
        <v>18.673333336666602</v>
      </c>
      <c r="D9" s="19">
        <v>16</v>
      </c>
      <c r="E9" s="19">
        <f>VLOOKUP(D9,fdir_metadata!$A$4:$E$64,2,FALSE)</f>
        <v>24000</v>
      </c>
      <c r="F9" s="19">
        <f>VLOOKUP(D9,fdir_metadata!$A$4:$E$64,3,FALSE)</f>
        <v>30000</v>
      </c>
      <c r="G9" s="40">
        <f t="shared" si="0"/>
        <v>0.72</v>
      </c>
      <c r="H9" s="23">
        <v>82159.975680643605</v>
      </c>
      <c r="I9" s="23">
        <v>82160</v>
      </c>
      <c r="J9" s="31">
        <v>82160</v>
      </c>
      <c r="K9" s="24">
        <v>8.43</v>
      </c>
      <c r="L9" s="24">
        <v>21</v>
      </c>
      <c r="M9" s="19">
        <v>0.81</v>
      </c>
    </row>
    <row r="10" spans="1:18" x14ac:dyDescent="0.2">
      <c r="A10" s="19">
        <v>817</v>
      </c>
      <c r="B10" s="39">
        <v>10.0191666633333</v>
      </c>
      <c r="C10" s="39">
        <v>37.4791666666666</v>
      </c>
      <c r="D10" s="19">
        <v>17</v>
      </c>
      <c r="E10" s="19">
        <f>VLOOKUP(D10,fdir_metadata!$A$4:$E$64,2,FALSE)</f>
        <v>24000</v>
      </c>
      <c r="F10" s="19">
        <f>VLOOKUP(D10,fdir_metadata!$A$4:$E$64,3,FALSE)</f>
        <v>48000</v>
      </c>
      <c r="G10" s="40">
        <f t="shared" si="0"/>
        <v>1.1519999999999999</v>
      </c>
      <c r="H10" s="23">
        <v>84290.437206351504</v>
      </c>
      <c r="I10" s="23">
        <v>84290.4</v>
      </c>
      <c r="J10" s="31">
        <v>84290.4</v>
      </c>
      <c r="K10" s="24">
        <v>12.28</v>
      </c>
      <c r="L10" s="24">
        <v>34.4</v>
      </c>
      <c r="M10" s="19">
        <v>0.48</v>
      </c>
    </row>
    <row r="11" spans="1:18" x14ac:dyDescent="0.2">
      <c r="A11" s="19">
        <v>821</v>
      </c>
      <c r="B11" s="39">
        <v>45.048333333333296</v>
      </c>
      <c r="C11" s="39">
        <v>10.6724999966666</v>
      </c>
      <c r="D11" s="19">
        <v>21</v>
      </c>
      <c r="E11" s="19">
        <f>VLOOKUP(D11,fdir_metadata!$A$4:$E$64,2,FALSE)</f>
        <v>60000</v>
      </c>
      <c r="F11" s="19">
        <f>VLOOKUP(D11,fdir_metadata!$A$4:$E$64,3,FALSE)</f>
        <v>30000</v>
      </c>
      <c r="G11" s="40">
        <f t="shared" si="0"/>
        <v>1.8</v>
      </c>
      <c r="H11" s="23">
        <v>62258.519321916399</v>
      </c>
      <c r="I11" s="23">
        <v>62258.5</v>
      </c>
      <c r="J11" s="31">
        <v>62258.5</v>
      </c>
      <c r="K11" s="24">
        <v>28.53</v>
      </c>
      <c r="L11" s="24">
        <v>51.4</v>
      </c>
      <c r="M11" s="19">
        <v>0.56000000000000005</v>
      </c>
    </row>
    <row r="12" spans="1:18" x14ac:dyDescent="0.2">
      <c r="A12" s="19">
        <v>822</v>
      </c>
      <c r="B12" s="39">
        <v>41.113333333333301</v>
      </c>
      <c r="C12" s="39">
        <v>34.639999996666603</v>
      </c>
      <c r="D12" s="19">
        <v>22</v>
      </c>
      <c r="E12" s="19">
        <f>VLOOKUP(D12,fdir_metadata!$A$4:$E$64,2,FALSE)</f>
        <v>54000</v>
      </c>
      <c r="F12" s="19">
        <f>VLOOKUP(D12,fdir_metadata!$A$4:$E$64,3,FALSE)</f>
        <v>30000</v>
      </c>
      <c r="G12" s="40">
        <f t="shared" si="0"/>
        <v>1.62</v>
      </c>
      <c r="H12" s="23">
        <v>66114.491760889403</v>
      </c>
      <c r="I12" s="23">
        <v>66114.5</v>
      </c>
      <c r="J12" s="31">
        <v>66114.5</v>
      </c>
      <c r="K12" s="24">
        <v>22.28</v>
      </c>
      <c r="L12" s="24">
        <v>47.4</v>
      </c>
      <c r="M12" s="19">
        <v>0.66</v>
      </c>
    </row>
    <row r="13" spans="1:18" x14ac:dyDescent="0.2">
      <c r="A13" s="19">
        <v>823</v>
      </c>
      <c r="B13" s="39">
        <v>37.2391666633333</v>
      </c>
      <c r="C13" s="39">
        <v>-7.4200000003333297</v>
      </c>
      <c r="D13" s="19">
        <v>23</v>
      </c>
      <c r="E13" s="19">
        <f>VLOOKUP(D13,fdir_metadata!$A$4:$E$64,2,FALSE)</f>
        <v>42000</v>
      </c>
      <c r="F13" s="19">
        <f>VLOOKUP(D13,fdir_metadata!$A$4:$E$64,3,FALSE)</f>
        <v>36000</v>
      </c>
      <c r="G13" s="40">
        <f t="shared" si="0"/>
        <v>1.512</v>
      </c>
      <c r="H13" s="23">
        <v>66969.323417321502</v>
      </c>
      <c r="I13" s="23">
        <v>66969.3</v>
      </c>
      <c r="J13" s="31">
        <v>66969.3</v>
      </c>
      <c r="K13" s="24">
        <v>19.579999999999998</v>
      </c>
      <c r="L13" s="24">
        <v>41.8</v>
      </c>
      <c r="M13" s="19">
        <v>0.7</v>
      </c>
    </row>
    <row r="14" spans="1:18" x14ac:dyDescent="0.2">
      <c r="A14" s="19">
        <v>824</v>
      </c>
      <c r="B14" s="39">
        <v>52.726666663333297</v>
      </c>
      <c r="C14" s="39">
        <v>15.2333333366666</v>
      </c>
      <c r="D14" s="19">
        <v>24</v>
      </c>
      <c r="E14" s="19">
        <f>VLOOKUP(D14,fdir_metadata!$A$4:$E$64,2,FALSE)</f>
        <v>42000</v>
      </c>
      <c r="F14" s="19">
        <f>VLOOKUP(D14,fdir_metadata!$A$4:$E$64,3,FALSE)</f>
        <v>30000</v>
      </c>
      <c r="G14" s="40">
        <f t="shared" si="0"/>
        <v>1.26</v>
      </c>
      <c r="H14" s="23">
        <v>52781.943006182802</v>
      </c>
      <c r="I14" s="23">
        <v>52781.9</v>
      </c>
      <c r="J14" s="31">
        <v>52781.9</v>
      </c>
      <c r="K14" s="24">
        <v>12.6</v>
      </c>
      <c r="L14" s="24">
        <v>33.799999999999997</v>
      </c>
      <c r="M14" s="19">
        <v>0.8</v>
      </c>
    </row>
    <row r="15" spans="1:18" x14ac:dyDescent="0.2">
      <c r="A15" s="19">
        <v>825</v>
      </c>
      <c r="B15" s="39">
        <v>59.442500003333301</v>
      </c>
      <c r="C15" s="39">
        <v>11.209166666666601</v>
      </c>
      <c r="D15" s="19">
        <v>25</v>
      </c>
      <c r="E15" s="19">
        <f>VLOOKUP(D15,fdir_metadata!$A$4:$E$64,2,FALSE)</f>
        <v>54000</v>
      </c>
      <c r="F15" s="19">
        <f>VLOOKUP(D15,fdir_metadata!$A$4:$E$64,3,FALSE)</f>
        <v>36000</v>
      </c>
      <c r="G15" s="40">
        <f t="shared" si="0"/>
        <v>1.944</v>
      </c>
      <c r="H15" s="23">
        <v>41486.668121313298</v>
      </c>
      <c r="I15" s="23">
        <v>41486.699999999997</v>
      </c>
      <c r="J15" s="31">
        <v>41486.699999999997</v>
      </c>
      <c r="K15" s="24">
        <v>26.59</v>
      </c>
      <c r="L15" s="24">
        <v>54.5</v>
      </c>
      <c r="M15" s="19">
        <v>0.77</v>
      </c>
    </row>
    <row r="16" spans="1:18" x14ac:dyDescent="0.2">
      <c r="A16" s="19">
        <v>826</v>
      </c>
      <c r="B16" s="39">
        <v>60.383333333333297</v>
      </c>
      <c r="C16" s="39">
        <v>44.158333336666601</v>
      </c>
      <c r="D16" s="19">
        <v>26</v>
      </c>
      <c r="E16" s="19">
        <f>VLOOKUP(D16,fdir_metadata!$A$4:$E$64,2,FALSE)</f>
        <v>42000</v>
      </c>
      <c r="F16" s="19">
        <f>VLOOKUP(D16,fdir_metadata!$A$4:$E$64,3,FALSE)</f>
        <v>36000</v>
      </c>
      <c r="G16" s="40">
        <f t="shared" si="0"/>
        <v>1.512</v>
      </c>
      <c r="H16" s="23">
        <v>43423.983223638097</v>
      </c>
      <c r="I16" s="23">
        <v>43423.9</v>
      </c>
      <c r="J16" s="31">
        <v>43424</v>
      </c>
      <c r="K16" s="24">
        <v>19.829999999999998</v>
      </c>
      <c r="L16" s="24">
        <v>43.9</v>
      </c>
      <c r="M16" s="19">
        <v>0.7</v>
      </c>
    </row>
    <row r="17" spans="1:13" x14ac:dyDescent="0.2">
      <c r="A17" s="19">
        <v>828</v>
      </c>
      <c r="B17" s="39">
        <v>56.9433333333333</v>
      </c>
      <c r="C17" s="39">
        <v>37.486666666666601</v>
      </c>
      <c r="D17" s="19">
        <v>28</v>
      </c>
      <c r="E17" s="19">
        <f>VLOOKUP(D17,fdir_metadata!$A$4:$E$64,2,FALSE)</f>
        <v>48000</v>
      </c>
      <c r="F17" s="19">
        <f>VLOOKUP(D17,fdir_metadata!$A$4:$E$64,3,FALSE)</f>
        <v>42000</v>
      </c>
      <c r="G17" s="40">
        <f t="shared" si="0"/>
        <v>2.016</v>
      </c>
      <c r="H17" s="23">
        <v>47527.049180504</v>
      </c>
      <c r="I17" s="23">
        <v>47527</v>
      </c>
      <c r="J17" s="31">
        <v>47527</v>
      </c>
      <c r="K17" s="24">
        <v>30.47</v>
      </c>
      <c r="L17" s="24">
        <v>61.5</v>
      </c>
      <c r="M17" s="19">
        <v>0.95</v>
      </c>
    </row>
    <row r="18" spans="1:13" x14ac:dyDescent="0.2">
      <c r="A18" s="19">
        <v>829</v>
      </c>
      <c r="B18" s="39">
        <v>25.909166663333298</v>
      </c>
      <c r="C18" s="39">
        <v>43.393333336666601</v>
      </c>
      <c r="D18" s="19">
        <v>29</v>
      </c>
      <c r="E18" s="19">
        <f>VLOOKUP(D18,fdir_metadata!$A$4:$E$64,2,FALSE)</f>
        <v>48000</v>
      </c>
      <c r="F18" s="19">
        <f>VLOOKUP(D18,fdir_metadata!$A$4:$E$64,3,FALSE)</f>
        <v>42000</v>
      </c>
      <c r="G18" s="40">
        <f t="shared" si="0"/>
        <v>2.016</v>
      </c>
      <c r="H18" s="23">
        <v>77794.464816174004</v>
      </c>
      <c r="I18" s="23">
        <v>77736.5</v>
      </c>
      <c r="J18" s="31">
        <v>77736.5</v>
      </c>
      <c r="K18" s="24">
        <v>33.14</v>
      </c>
      <c r="L18" s="24">
        <v>60.1</v>
      </c>
      <c r="M18" s="19">
        <v>0.73</v>
      </c>
    </row>
    <row r="19" spans="1:13" x14ac:dyDescent="0.2">
      <c r="A19" s="19">
        <v>831</v>
      </c>
      <c r="B19" s="39">
        <v>59.613333333333301</v>
      </c>
      <c r="C19" s="39">
        <v>62.513333336666598</v>
      </c>
      <c r="D19" s="19">
        <v>31</v>
      </c>
      <c r="E19" s="19">
        <f>VLOOKUP(D19,fdir_metadata!$A$4:$E$64,2,FALSE)</f>
        <v>48000</v>
      </c>
      <c r="F19" s="19">
        <f>VLOOKUP(D19,fdir_metadata!$A$4:$E$64,3,FALSE)</f>
        <v>36000</v>
      </c>
      <c r="G19" s="40">
        <f t="shared" si="0"/>
        <v>1.728</v>
      </c>
      <c r="H19" s="23">
        <v>43087.457860905502</v>
      </c>
      <c r="I19" s="23">
        <v>43087.5</v>
      </c>
      <c r="J19" s="31">
        <v>43087.5</v>
      </c>
      <c r="K19" s="24">
        <v>25.03</v>
      </c>
      <c r="L19" s="24">
        <v>51.8</v>
      </c>
      <c r="M19" s="19">
        <v>0.75</v>
      </c>
    </row>
    <row r="20" spans="1:13" x14ac:dyDescent="0.2">
      <c r="A20" s="19">
        <v>832</v>
      </c>
      <c r="B20" s="39">
        <v>54.065833333333302</v>
      </c>
      <c r="C20" s="39">
        <v>108.61666666666601</v>
      </c>
      <c r="D20" s="19">
        <v>32</v>
      </c>
      <c r="E20" s="19">
        <f>VLOOKUP(D20,fdir_metadata!$A$4:$E$64,2,FALSE)</f>
        <v>48000</v>
      </c>
      <c r="F20" s="19">
        <f>VLOOKUP(D20,fdir_metadata!$A$4:$E$64,3,FALSE)</f>
        <v>36000</v>
      </c>
      <c r="G20" s="40">
        <f t="shared" si="0"/>
        <v>1.728</v>
      </c>
      <c r="H20" s="23">
        <v>49168.416729191398</v>
      </c>
      <c r="I20" s="23">
        <v>49168.4</v>
      </c>
      <c r="J20" s="31">
        <v>49168.4</v>
      </c>
      <c r="K20" s="24">
        <v>31.54</v>
      </c>
      <c r="L20" s="24">
        <v>51.4</v>
      </c>
      <c r="M20" s="19">
        <v>0.69</v>
      </c>
    </row>
    <row r="21" spans="1:13" x14ac:dyDescent="0.2">
      <c r="A21" s="19">
        <v>833</v>
      </c>
      <c r="B21" s="39">
        <v>68.298333333333304</v>
      </c>
      <c r="C21" s="39">
        <v>110.78916666666601</v>
      </c>
      <c r="D21" s="19">
        <v>33</v>
      </c>
      <c r="E21" s="19">
        <f>VLOOKUP(D21,fdir_metadata!$A$4:$E$64,2,FALSE)</f>
        <v>66000</v>
      </c>
      <c r="F21" s="19">
        <f>VLOOKUP(D21,fdir_metadata!$A$4:$E$64,3,FALSE)</f>
        <v>24000</v>
      </c>
      <c r="G21" s="40">
        <f t="shared" si="0"/>
        <v>1.5840000000000001</v>
      </c>
      <c r="H21" s="23">
        <v>32068.647032453799</v>
      </c>
      <c r="I21" s="23">
        <v>32068.6</v>
      </c>
      <c r="J21" s="31">
        <v>32068.7</v>
      </c>
      <c r="K21" s="24">
        <v>24.58</v>
      </c>
      <c r="L21" s="24">
        <v>42.5</v>
      </c>
      <c r="M21" s="19">
        <v>0.67</v>
      </c>
    </row>
    <row r="22" spans="1:13" x14ac:dyDescent="0.2">
      <c r="A22" s="19">
        <v>834</v>
      </c>
      <c r="B22" s="39">
        <v>59.505000003333301</v>
      </c>
      <c r="C22" s="39">
        <v>135.66749996666601</v>
      </c>
      <c r="D22" s="19">
        <v>34</v>
      </c>
      <c r="E22" s="19">
        <f>VLOOKUP(D22,fdir_metadata!$A$4:$E$64,2,FALSE)</f>
        <v>54000</v>
      </c>
      <c r="F22" s="19">
        <f>VLOOKUP(D22,fdir_metadata!$A$4:$E$64,3,FALSE)</f>
        <v>30000</v>
      </c>
      <c r="G22" s="40">
        <f t="shared" si="0"/>
        <v>1.62</v>
      </c>
      <c r="H22" s="23">
        <v>42713.555612547898</v>
      </c>
      <c r="I22" s="23">
        <v>42713.599999999999</v>
      </c>
      <c r="J22" s="31">
        <v>42713.599999999999</v>
      </c>
      <c r="K22" s="24">
        <v>24.42</v>
      </c>
      <c r="L22" s="24">
        <v>45</v>
      </c>
      <c r="M22" s="19">
        <v>0.56999999999999995</v>
      </c>
    </row>
    <row r="23" spans="1:13" x14ac:dyDescent="0.2">
      <c r="A23" s="19">
        <v>835</v>
      </c>
      <c r="B23" s="39">
        <v>65.364166663333293</v>
      </c>
      <c r="C23" s="39">
        <v>151.05333336666601</v>
      </c>
      <c r="D23" s="19">
        <v>35</v>
      </c>
      <c r="E23" s="19">
        <f>VLOOKUP(D23,fdir_metadata!$A$4:$E$64,2,FALSE)</f>
        <v>66000</v>
      </c>
      <c r="F23" s="19">
        <f>VLOOKUP(D23,fdir_metadata!$A$4:$E$64,3,FALSE)</f>
        <v>30000</v>
      </c>
      <c r="G23" s="40">
        <f t="shared" si="0"/>
        <v>1.98</v>
      </c>
      <c r="H23" s="23">
        <v>37360.671464106897</v>
      </c>
      <c r="I23" s="23">
        <v>37360.699999999997</v>
      </c>
      <c r="J23" s="31">
        <v>37360.699999999997</v>
      </c>
      <c r="K23" s="24">
        <v>32.659999999999997</v>
      </c>
      <c r="L23" s="24">
        <v>55.8</v>
      </c>
      <c r="M23" s="19">
        <v>0.62</v>
      </c>
    </row>
    <row r="24" spans="1:13" x14ac:dyDescent="0.2">
      <c r="A24" s="19">
        <v>836</v>
      </c>
      <c r="B24" s="39">
        <v>48.220833333333303</v>
      </c>
      <c r="C24" s="39">
        <v>91.930833336666595</v>
      </c>
      <c r="D24" s="19">
        <v>36</v>
      </c>
      <c r="E24" s="19">
        <f>VLOOKUP(D24,fdir_metadata!$A$4:$E$64,2,FALSE)</f>
        <v>18000</v>
      </c>
      <c r="F24" s="19">
        <f>VLOOKUP(D24,fdir_metadata!$A$4:$E$64,3,FALSE)</f>
        <v>12000</v>
      </c>
      <c r="G24" s="40">
        <f t="shared" si="0"/>
        <v>0.216</v>
      </c>
      <c r="H24" s="23">
        <v>56874.8799130318</v>
      </c>
      <c r="I24" s="23">
        <v>56874.1</v>
      </c>
      <c r="J24" s="31">
        <v>56874.9</v>
      </c>
      <c r="K24" s="24">
        <v>3.81</v>
      </c>
      <c r="L24" s="24">
        <v>7.44</v>
      </c>
      <c r="M24" s="19">
        <v>0.55000000000000004</v>
      </c>
    </row>
    <row r="25" spans="1:13" x14ac:dyDescent="0.2">
      <c r="A25" s="19">
        <v>842</v>
      </c>
      <c r="B25" s="39">
        <v>43.775833333333303</v>
      </c>
      <c r="C25" s="39">
        <v>123.013333366666</v>
      </c>
      <c r="D25" s="19">
        <v>42</v>
      </c>
      <c r="E25" s="19">
        <f>VLOOKUP(D25,fdir_metadata!$A$4:$E$64,2,FALSE)</f>
        <v>48000</v>
      </c>
      <c r="F25" s="19">
        <f>VLOOKUP(D25,fdir_metadata!$A$4:$E$64,3,FALSE)</f>
        <v>36000</v>
      </c>
      <c r="G25" s="40">
        <f t="shared" si="0"/>
        <v>1.728</v>
      </c>
      <c r="H25" s="23">
        <v>63080.5012934021</v>
      </c>
      <c r="I25" s="23">
        <v>63080.5</v>
      </c>
      <c r="J25" s="31">
        <v>63080.5</v>
      </c>
      <c r="K25" s="24">
        <v>24.13</v>
      </c>
      <c r="L25" s="24">
        <v>58.2</v>
      </c>
      <c r="M25" s="19">
        <v>0.61</v>
      </c>
    </row>
    <row r="26" spans="1:13" x14ac:dyDescent="0.2">
      <c r="A26" s="19">
        <v>843</v>
      </c>
      <c r="B26" s="39">
        <v>29.264166663333299</v>
      </c>
      <c r="C26" s="39">
        <v>103.179999966666</v>
      </c>
      <c r="D26" s="19">
        <v>43</v>
      </c>
      <c r="E26" s="19">
        <f>VLOOKUP(D26,fdir_metadata!$A$4:$E$64,2,FALSE)</f>
        <v>42000</v>
      </c>
      <c r="F26" s="19">
        <f>VLOOKUP(D26,fdir_metadata!$A$4:$E$64,3,FALSE)</f>
        <v>36000</v>
      </c>
      <c r="G26" s="40">
        <f t="shared" si="0"/>
        <v>1.512</v>
      </c>
      <c r="H26" s="23">
        <v>73214.017097580407</v>
      </c>
      <c r="I26" s="23">
        <v>73214</v>
      </c>
      <c r="J26" s="31">
        <v>73214</v>
      </c>
      <c r="K26" s="24">
        <v>19.420000000000002</v>
      </c>
      <c r="L26" s="24">
        <v>49.3</v>
      </c>
      <c r="M26" s="19">
        <v>0.56000000000000005</v>
      </c>
    </row>
    <row r="27" spans="1:13" x14ac:dyDescent="0.2">
      <c r="A27" s="19">
        <v>844</v>
      </c>
      <c r="B27" s="39">
        <v>12.0782833333333</v>
      </c>
      <c r="C27" s="39">
        <v>104.777516666666</v>
      </c>
      <c r="D27" s="19">
        <v>44</v>
      </c>
      <c r="E27" s="19">
        <f>VLOOKUP(D27,fdir_metadata!$A$4:$E$64,2,FALSE)</f>
        <v>24000</v>
      </c>
      <c r="F27" s="19">
        <f>VLOOKUP(D27,fdir_metadata!$A$4:$E$64,3,FALSE)</f>
        <v>42000</v>
      </c>
      <c r="G27" s="40">
        <f t="shared" si="0"/>
        <v>1.008</v>
      </c>
      <c r="H27" s="23">
        <v>83279.646121572398</v>
      </c>
      <c r="I27" s="23">
        <v>83279.5</v>
      </c>
      <c r="J27" s="31">
        <v>83279.600000000006</v>
      </c>
      <c r="K27" s="24">
        <v>10.59</v>
      </c>
      <c r="L27" s="24">
        <v>33</v>
      </c>
      <c r="M27" s="19">
        <v>0.66</v>
      </c>
    </row>
    <row r="28" spans="1:13" x14ac:dyDescent="0.2">
      <c r="A28" s="19">
        <v>845</v>
      </c>
      <c r="B28" s="39">
        <v>22.079183333333301</v>
      </c>
      <c r="C28" s="39">
        <v>74.787516666666605</v>
      </c>
      <c r="D28" s="19">
        <v>45</v>
      </c>
      <c r="E28" s="19">
        <f>VLOOKUP(D28,fdir_metadata!$A$4:$E$64,2,FALSE)</f>
        <v>42000</v>
      </c>
      <c r="F28" s="19">
        <f>VLOOKUP(D28,fdir_metadata!$A$4:$E$64,3,FALSE)</f>
        <v>42000</v>
      </c>
      <c r="G28" s="40">
        <f t="shared" si="0"/>
        <v>1.764</v>
      </c>
      <c r="H28" s="23">
        <v>80393.811211312699</v>
      </c>
      <c r="I28" s="23">
        <v>80393.8</v>
      </c>
      <c r="J28" s="31">
        <v>80393.8</v>
      </c>
      <c r="K28" s="24">
        <v>25.12</v>
      </c>
      <c r="L28" s="24">
        <v>52.2</v>
      </c>
      <c r="M28" s="19">
        <v>0.71</v>
      </c>
    </row>
    <row r="29" spans="1:13" x14ac:dyDescent="0.2">
      <c r="A29" s="19">
        <v>846</v>
      </c>
      <c r="B29" s="39">
        <v>43.822483333333302</v>
      </c>
      <c r="C29" s="39">
        <v>80.520816666666605</v>
      </c>
      <c r="D29" s="19">
        <v>46</v>
      </c>
      <c r="E29" s="19">
        <f>VLOOKUP(D29,fdir_metadata!$A$4:$E$64,2,FALSE)</f>
        <v>36000</v>
      </c>
      <c r="F29" s="19">
        <f>VLOOKUP(D29,fdir_metadata!$A$4:$E$64,3,FALSE)</f>
        <v>30000</v>
      </c>
      <c r="G29" s="40">
        <f t="shared" si="0"/>
        <v>1.08</v>
      </c>
      <c r="H29" s="23">
        <v>62673.190206966101</v>
      </c>
      <c r="I29" s="23">
        <v>62673.2</v>
      </c>
      <c r="J29" s="31">
        <v>62673.2</v>
      </c>
      <c r="K29" s="24">
        <v>12.35</v>
      </c>
      <c r="L29" s="24">
        <v>31.2</v>
      </c>
      <c r="M29" s="19">
        <v>0.53</v>
      </c>
    </row>
    <row r="30" spans="1:13" x14ac:dyDescent="0.2">
      <c r="A30" s="19">
        <v>847</v>
      </c>
      <c r="B30" s="39">
        <v>45.719983333333303</v>
      </c>
      <c r="C30" s="39">
        <v>85.745816666666599</v>
      </c>
      <c r="D30" s="19">
        <v>47</v>
      </c>
      <c r="E30" s="19">
        <f>VLOOKUP(D30,fdir_metadata!$A$4:$E$64,2,FALSE)</f>
        <v>54000</v>
      </c>
      <c r="F30" s="19">
        <f>VLOOKUP(D30,fdir_metadata!$A$4:$E$64,3,FALSE)</f>
        <v>18000</v>
      </c>
      <c r="G30" s="40">
        <f t="shared" si="0"/>
        <v>0.97199999999999998</v>
      </c>
      <c r="H30" s="23">
        <v>63588.2205628089</v>
      </c>
      <c r="I30" s="23">
        <v>63588.2</v>
      </c>
      <c r="J30" s="31">
        <v>63588.2</v>
      </c>
      <c r="K30" s="24">
        <v>10.11</v>
      </c>
      <c r="L30" s="24">
        <v>28.1</v>
      </c>
      <c r="M30" s="19">
        <v>0.76</v>
      </c>
    </row>
    <row r="31" spans="1:13" x14ac:dyDescent="0.2">
      <c r="A31" s="19">
        <v>848</v>
      </c>
      <c r="B31" s="39">
        <v>40.514983333333298</v>
      </c>
      <c r="C31" s="39">
        <v>94.626616666666607</v>
      </c>
      <c r="D31" s="19">
        <v>48</v>
      </c>
      <c r="E31" s="19">
        <f>VLOOKUP(D31,fdir_metadata!$A$4:$E$64,2,FALSE)</f>
        <v>36000</v>
      </c>
      <c r="F31" s="19">
        <f>VLOOKUP(D31,fdir_metadata!$A$4:$E$64,3,FALSE)</f>
        <v>18000</v>
      </c>
      <c r="G31" s="40">
        <f t="shared" si="0"/>
        <v>0.64800000000000002</v>
      </c>
      <c r="H31" s="23">
        <v>66127.116995332195</v>
      </c>
      <c r="I31" s="23">
        <v>66127.100000000006</v>
      </c>
      <c r="J31" s="31">
        <v>66127.100000000006</v>
      </c>
      <c r="K31" s="24">
        <v>6.8</v>
      </c>
      <c r="L31" s="24">
        <v>19.2</v>
      </c>
      <c r="M31" s="19">
        <v>0.61</v>
      </c>
    </row>
    <row r="32" spans="1:13" x14ac:dyDescent="0.2">
      <c r="A32" s="19">
        <v>856</v>
      </c>
      <c r="B32" s="39">
        <v>-18.5533166666666</v>
      </c>
      <c r="C32" s="39">
        <v>132.842516666666</v>
      </c>
      <c r="D32" s="19">
        <v>56</v>
      </c>
      <c r="E32" s="19">
        <f>VLOOKUP(D32,fdir_metadata!$A$4:$E$64,2,FALSE)</f>
        <v>54000</v>
      </c>
      <c r="F32" s="19">
        <f>VLOOKUP(D32,fdir_metadata!$A$4:$E$64,3,FALSE)</f>
        <v>48000</v>
      </c>
      <c r="G32" s="40">
        <f t="shared" si="0"/>
        <v>2.5920000000000001</v>
      </c>
      <c r="H32" s="23">
        <v>80180.317230565997</v>
      </c>
      <c r="I32" s="23">
        <v>80180.3</v>
      </c>
      <c r="J32" s="31">
        <v>80180.3</v>
      </c>
      <c r="K32" s="24">
        <v>48.83</v>
      </c>
      <c r="L32" s="24">
        <v>78.3</v>
      </c>
      <c r="M32" s="19">
        <v>0.8</v>
      </c>
    </row>
    <row r="33" spans="1:13" x14ac:dyDescent="0.2">
      <c r="A33" s="19">
        <v>861</v>
      </c>
      <c r="B33" s="39">
        <v>7.5566833333333303</v>
      </c>
      <c r="C33" s="39">
        <v>-62.893283333333301</v>
      </c>
      <c r="D33" s="19">
        <v>61</v>
      </c>
      <c r="E33" s="19">
        <f>VLOOKUP(D33,fdir_metadata!$A$4:$E$64,2,FALSE)</f>
        <v>42000</v>
      </c>
      <c r="F33" s="19">
        <f>VLOOKUP(D33,fdir_metadata!$A$4:$E$64,3,FALSE)</f>
        <v>18000</v>
      </c>
      <c r="G33" s="40">
        <f t="shared" si="0"/>
        <v>0.75600000000000001</v>
      </c>
      <c r="H33" s="23">
        <v>85325.338727698196</v>
      </c>
      <c r="I33" s="23">
        <v>85325.3</v>
      </c>
      <c r="J33" s="31">
        <v>85325.3</v>
      </c>
      <c r="K33" s="24">
        <v>8.75</v>
      </c>
      <c r="L33" s="24">
        <v>20.5</v>
      </c>
      <c r="M33" s="19">
        <v>0.83</v>
      </c>
    </row>
    <row r="34" spans="1:13" x14ac:dyDescent="0.2">
      <c r="A34" s="19">
        <v>862</v>
      </c>
      <c r="B34" s="39">
        <v>-5.4050166666666701</v>
      </c>
      <c r="C34" s="39">
        <v>-75.812483333333304</v>
      </c>
      <c r="D34" s="19">
        <v>62</v>
      </c>
      <c r="E34" s="19">
        <f>VLOOKUP(D34,fdir_metadata!$A$4:$E$64,2,FALSE)</f>
        <v>42000</v>
      </c>
      <c r="F34" s="19">
        <f>VLOOKUP(D34,fdir_metadata!$A$4:$E$64,3,FALSE)</f>
        <v>42000</v>
      </c>
      <c r="G34" s="40">
        <f t="shared" si="0"/>
        <v>1.764</v>
      </c>
      <c r="H34" s="23">
        <v>84783.698325032296</v>
      </c>
      <c r="I34" s="23">
        <v>84783.7</v>
      </c>
      <c r="J34" s="31">
        <v>84783.7</v>
      </c>
      <c r="K34" s="24">
        <v>26.28</v>
      </c>
      <c r="L34" s="24">
        <v>52.6</v>
      </c>
      <c r="M34" s="19">
        <v>0.69</v>
      </c>
    </row>
    <row r="35" spans="1:13" x14ac:dyDescent="0.2">
      <c r="A35" s="19">
        <v>863</v>
      </c>
      <c r="B35" s="39">
        <v>-6.7208166666666598</v>
      </c>
      <c r="C35" s="39">
        <v>-43.629183333333302</v>
      </c>
      <c r="D35" s="19">
        <v>63</v>
      </c>
      <c r="E35" s="19">
        <f>VLOOKUP(D35,fdir_metadata!$A$4:$E$64,2,FALSE)</f>
        <v>24000</v>
      </c>
      <c r="F35" s="19">
        <f>VLOOKUP(D35,fdir_metadata!$A$4:$E$64,3,FALSE)</f>
        <v>30000</v>
      </c>
      <c r="G35" s="40">
        <f t="shared" si="0"/>
        <v>0.72</v>
      </c>
      <c r="H35" s="23">
        <v>84620.791541461702</v>
      </c>
      <c r="I35" s="23">
        <v>84620.800000000003</v>
      </c>
      <c r="J35" s="31">
        <v>84620.800000000003</v>
      </c>
      <c r="K35" s="24">
        <v>7.89</v>
      </c>
      <c r="L35" s="24">
        <v>19</v>
      </c>
      <c r="M35" s="19">
        <v>0.67</v>
      </c>
    </row>
    <row r="36" spans="1:13" x14ac:dyDescent="0.2">
      <c r="A36" s="19">
        <v>864</v>
      </c>
      <c r="B36" s="39">
        <v>-32.812516666666603</v>
      </c>
      <c r="C36" s="39">
        <v>-61.077483333333298</v>
      </c>
      <c r="D36" s="19">
        <v>64</v>
      </c>
      <c r="E36" s="19">
        <f>VLOOKUP(D36,fdir_metadata!$A$4:$E$64,2,FALSE)</f>
        <v>36000</v>
      </c>
      <c r="F36" s="19">
        <f>VLOOKUP(D36,fdir_metadata!$A$4:$E$64,3,FALSE)</f>
        <v>36000</v>
      </c>
      <c r="G36" s="40">
        <f t="shared" si="0"/>
        <v>1.296</v>
      </c>
      <c r="H36" s="23">
        <v>72005.364068568801</v>
      </c>
      <c r="I36" s="23">
        <v>72005.3</v>
      </c>
      <c r="J36" s="31">
        <v>72005.399999999994</v>
      </c>
      <c r="K36" s="24">
        <v>12.99</v>
      </c>
      <c r="L36" s="24">
        <v>36.1</v>
      </c>
      <c r="M36" s="19">
        <v>0.84</v>
      </c>
    </row>
    <row r="37" spans="1:13" x14ac:dyDescent="0.2">
      <c r="A37" s="19">
        <v>865</v>
      </c>
      <c r="B37" s="39">
        <v>-35.818316666666597</v>
      </c>
      <c r="C37" s="39">
        <v>-62.449183333333302</v>
      </c>
      <c r="D37" s="19">
        <v>65</v>
      </c>
      <c r="E37" s="19">
        <f>VLOOKUP(D37,fdir_metadata!$A$4:$E$64,2,FALSE)</f>
        <v>24000</v>
      </c>
      <c r="F37" s="19">
        <f>VLOOKUP(D37,fdir_metadata!$A$4:$E$64,3,FALSE)</f>
        <v>36000</v>
      </c>
      <c r="G37" s="40">
        <f t="shared" si="0"/>
        <v>0.86399999999999999</v>
      </c>
      <c r="H37" s="23">
        <v>70922.705370083204</v>
      </c>
      <c r="I37" s="23">
        <v>70922.7</v>
      </c>
      <c r="J37" s="31">
        <v>70922.7</v>
      </c>
      <c r="K37" s="24">
        <v>8.98</v>
      </c>
      <c r="L37" s="24">
        <v>24.5</v>
      </c>
      <c r="M37" s="19">
        <v>0.71</v>
      </c>
    </row>
    <row r="38" spans="1:13" x14ac:dyDescent="0.2">
      <c r="A38" s="19">
        <v>866</v>
      </c>
      <c r="B38" s="39">
        <v>-17.5991166666666</v>
      </c>
      <c r="C38" s="39">
        <v>-67.526683333333295</v>
      </c>
      <c r="D38" s="19">
        <v>66</v>
      </c>
      <c r="E38" s="19">
        <f>VLOOKUP(D38,fdir_metadata!$A$4:$E$64,2,FALSE)</f>
        <v>30000</v>
      </c>
      <c r="F38" s="19">
        <f>VLOOKUP(D38,fdir_metadata!$A$4:$E$64,3,FALSE)</f>
        <v>60000</v>
      </c>
      <c r="G38" s="40">
        <f t="shared" si="0"/>
        <v>1.8</v>
      </c>
      <c r="H38" s="23">
        <v>85484.400753556198</v>
      </c>
      <c r="I38" s="23">
        <v>85484.4</v>
      </c>
      <c r="J38" s="31">
        <v>85484.4</v>
      </c>
      <c r="K38" s="24">
        <v>24.02</v>
      </c>
      <c r="L38" s="24">
        <v>57.6</v>
      </c>
      <c r="M38" s="19">
        <v>0.56999999999999995</v>
      </c>
    </row>
    <row r="39" spans="1:13" x14ac:dyDescent="0.2">
      <c r="A39" s="19">
        <v>871</v>
      </c>
      <c r="B39" s="39">
        <v>51.6616666633333</v>
      </c>
      <c r="C39" s="39">
        <v>-99.7558333333333</v>
      </c>
      <c r="D39" s="19">
        <v>71</v>
      </c>
      <c r="E39" s="19">
        <f>VLOOKUP(D39,fdir_metadata!$A$4:$E$64,2,FALSE)</f>
        <v>54000</v>
      </c>
      <c r="F39" s="19">
        <f>VLOOKUP(D39,fdir_metadata!$A$4:$E$64,3,FALSE)</f>
        <v>24000</v>
      </c>
      <c r="G39" s="40">
        <f t="shared" si="0"/>
        <v>1.296</v>
      </c>
      <c r="H39" s="23">
        <v>52765.443235368199</v>
      </c>
      <c r="I39" s="23">
        <v>52765.4</v>
      </c>
      <c r="J39" s="31">
        <v>52765.4</v>
      </c>
      <c r="K39" s="24">
        <v>13.77</v>
      </c>
      <c r="L39" s="24">
        <v>34.5</v>
      </c>
      <c r="M39" s="19">
        <v>0.61</v>
      </c>
    </row>
    <row r="40" spans="1:13" x14ac:dyDescent="0.2">
      <c r="A40" s="19">
        <v>872</v>
      </c>
      <c r="B40" s="39">
        <v>45.243333333333297</v>
      </c>
      <c r="C40" s="39">
        <v>-82.181666663333303</v>
      </c>
      <c r="D40" s="19">
        <v>72</v>
      </c>
      <c r="E40" s="19">
        <f>VLOOKUP(D40,fdir_metadata!$A$4:$E$64,2,FALSE)</f>
        <v>54000</v>
      </c>
      <c r="F40" s="19">
        <f>VLOOKUP(D40,fdir_metadata!$A$4:$E$64,3,FALSE)</f>
        <v>30000</v>
      </c>
      <c r="G40" s="40">
        <f t="shared" si="0"/>
        <v>1.62</v>
      </c>
      <c r="H40" s="23">
        <v>60262.792897163999</v>
      </c>
      <c r="I40" s="23">
        <v>60262.8</v>
      </c>
      <c r="J40" s="31">
        <v>60262.8</v>
      </c>
      <c r="K40" s="24">
        <v>20.65</v>
      </c>
      <c r="L40" s="24">
        <v>44.7</v>
      </c>
      <c r="M40" s="19">
        <v>0.97</v>
      </c>
    </row>
    <row r="41" spans="1:13" x14ac:dyDescent="0.2">
      <c r="A41" s="19">
        <v>873</v>
      </c>
      <c r="B41" s="39">
        <v>40.125000003333298</v>
      </c>
      <c r="C41" s="39">
        <v>-76.722500003333295</v>
      </c>
      <c r="D41" s="19">
        <v>73</v>
      </c>
      <c r="E41" s="19">
        <f>VLOOKUP(D41,fdir_metadata!$A$4:$E$64,2,FALSE)</f>
        <v>30000</v>
      </c>
      <c r="F41" s="19">
        <f>VLOOKUP(D41,fdir_metadata!$A$4:$E$64,3,FALSE)</f>
        <v>36000</v>
      </c>
      <c r="G41" s="40">
        <f t="shared" si="0"/>
        <v>1.08</v>
      </c>
      <c r="H41" s="23">
        <v>64610.9234919683</v>
      </c>
      <c r="I41" s="23">
        <v>64610.9</v>
      </c>
      <c r="J41" s="31">
        <v>64610.9</v>
      </c>
      <c r="K41" s="24">
        <v>11.19</v>
      </c>
      <c r="L41" s="24">
        <v>29.8</v>
      </c>
      <c r="M41" s="19">
        <v>0.66</v>
      </c>
    </row>
    <row r="42" spans="1:13" x14ac:dyDescent="0.2">
      <c r="A42" s="19">
        <v>874</v>
      </c>
      <c r="B42" s="39">
        <v>39.980000003333302</v>
      </c>
      <c r="C42" s="39">
        <v>-80.737500003333295</v>
      </c>
      <c r="D42" s="19">
        <v>74</v>
      </c>
      <c r="E42" s="19">
        <f>VLOOKUP(D42,fdir_metadata!$A$4:$E$64,2,FALSE)</f>
        <v>48000</v>
      </c>
      <c r="F42" s="19">
        <f>VLOOKUP(D42,fdir_metadata!$A$4:$E$64,3,FALSE)</f>
        <v>36000</v>
      </c>
      <c r="G42" s="40">
        <f t="shared" si="0"/>
        <v>1.728</v>
      </c>
      <c r="H42" s="23">
        <v>65167.635280164599</v>
      </c>
      <c r="I42" s="23">
        <v>65167.6</v>
      </c>
      <c r="J42" s="31">
        <v>65167.6</v>
      </c>
      <c r="K42" s="24">
        <v>23.88</v>
      </c>
      <c r="L42" s="24">
        <v>50</v>
      </c>
      <c r="M42" s="19">
        <v>0.69</v>
      </c>
    </row>
    <row r="43" spans="1:13" x14ac:dyDescent="0.2">
      <c r="A43" s="19">
        <v>875</v>
      </c>
      <c r="B43" s="39">
        <v>31.0283333333333</v>
      </c>
      <c r="C43" s="39">
        <v>-96.778333333333293</v>
      </c>
      <c r="D43" s="19">
        <v>75</v>
      </c>
      <c r="E43" s="19">
        <f>VLOOKUP(D43,fdir_metadata!$A$4:$E$64,2,FALSE)</f>
        <v>42000</v>
      </c>
      <c r="F43" s="19">
        <f>VLOOKUP(D43,fdir_metadata!$A$4:$E$64,3,FALSE)</f>
        <v>42000</v>
      </c>
      <c r="G43" s="40">
        <f t="shared" si="0"/>
        <v>1.764</v>
      </c>
      <c r="H43" s="23">
        <v>72365.885586406002</v>
      </c>
      <c r="I43" s="23">
        <v>72365.399999999994</v>
      </c>
      <c r="J43" s="31">
        <v>72365.899999999994</v>
      </c>
      <c r="K43" s="24">
        <v>25.95</v>
      </c>
      <c r="L43" s="24">
        <v>48.3</v>
      </c>
      <c r="M43" s="19">
        <v>0.66</v>
      </c>
    </row>
    <row r="44" spans="1:13" x14ac:dyDescent="0.2">
      <c r="A44" s="19">
        <v>877</v>
      </c>
      <c r="B44" s="39">
        <v>18.526666663333302</v>
      </c>
      <c r="C44" s="39">
        <v>-101.034166633333</v>
      </c>
      <c r="D44" s="19">
        <v>77</v>
      </c>
      <c r="E44" s="19">
        <f>VLOOKUP(D44,fdir_metadata!$A$4:$E$64,2,FALSE)</f>
        <v>60000</v>
      </c>
      <c r="F44" s="19">
        <f>VLOOKUP(D44,fdir_metadata!$A$4:$E$64,3,FALSE)</f>
        <v>48000</v>
      </c>
      <c r="G44" s="40">
        <f t="shared" si="0"/>
        <v>2.88</v>
      </c>
      <c r="H44" s="23">
        <v>81288.484275726005</v>
      </c>
      <c r="I44" s="23">
        <v>81288.5</v>
      </c>
      <c r="J44" s="31">
        <v>81288.5</v>
      </c>
      <c r="K44" s="24">
        <v>58.16</v>
      </c>
      <c r="L44" s="24">
        <v>83.6</v>
      </c>
      <c r="M44" s="19">
        <v>0.6</v>
      </c>
    </row>
    <row r="45" spans="1:13" x14ac:dyDescent="0.2">
      <c r="A45" s="19">
        <v>878</v>
      </c>
      <c r="B45" s="39">
        <v>48.235833333333296</v>
      </c>
      <c r="C45" s="39">
        <v>-116.350833333333</v>
      </c>
      <c r="D45" s="19">
        <v>78</v>
      </c>
      <c r="E45" s="19">
        <f>VLOOKUP(D45,fdir_metadata!$A$4:$E$64,2,FALSE)</f>
        <v>42000</v>
      </c>
      <c r="F45" s="19">
        <f>VLOOKUP(D45,fdir_metadata!$A$4:$E$64,3,FALSE)</f>
        <v>24000</v>
      </c>
      <c r="G45" s="40">
        <f t="shared" si="0"/>
        <v>1.008</v>
      </c>
      <c r="H45" s="23">
        <v>58328.113337124902</v>
      </c>
      <c r="I45" s="23">
        <v>58328.1</v>
      </c>
      <c r="J45" s="31">
        <v>58327.7</v>
      </c>
      <c r="K45" s="24">
        <v>12.37</v>
      </c>
      <c r="L45" s="24">
        <v>27.6</v>
      </c>
      <c r="M45" s="19">
        <v>0.6</v>
      </c>
    </row>
    <row r="46" spans="1:13" x14ac:dyDescent="0.2">
      <c r="A46" s="19">
        <v>881</v>
      </c>
      <c r="B46" s="39">
        <v>62.832500003333301</v>
      </c>
      <c r="C46" s="39">
        <v>-140.126666633333</v>
      </c>
      <c r="D46" s="19">
        <v>81</v>
      </c>
      <c r="E46" s="19">
        <f>VLOOKUP(D46,fdir_metadata!$A$4:$E$64,2,FALSE)</f>
        <v>66000</v>
      </c>
      <c r="F46" s="19">
        <f>VLOOKUP(D46,fdir_metadata!$A$4:$E$64,3,FALSE)</f>
        <v>30000</v>
      </c>
      <c r="G46" s="40">
        <f t="shared" si="0"/>
        <v>1.98</v>
      </c>
      <c r="H46" s="23">
        <v>40853.016502823499</v>
      </c>
      <c r="I46" s="23">
        <v>40853</v>
      </c>
      <c r="J46" s="31">
        <v>40853</v>
      </c>
      <c r="K46" s="24">
        <v>28.22</v>
      </c>
      <c r="L46" s="24">
        <v>55.3</v>
      </c>
      <c r="M46" s="19">
        <v>0.63</v>
      </c>
    </row>
    <row r="47" spans="1:13" x14ac:dyDescent="0.2">
      <c r="A47" s="19">
        <v>882</v>
      </c>
      <c r="B47" s="39">
        <v>54.855833333333301</v>
      </c>
      <c r="C47" s="39">
        <v>-114.215000033333</v>
      </c>
      <c r="D47" s="19">
        <v>82</v>
      </c>
      <c r="E47" s="19">
        <f>VLOOKUP(D47,fdir_metadata!$A$4:$E$64,2,FALSE)</f>
        <v>54000</v>
      </c>
      <c r="F47" s="19">
        <f>VLOOKUP(D47,fdir_metadata!$A$4:$E$64,3,FALSE)</f>
        <v>30000</v>
      </c>
      <c r="G47" s="40">
        <f t="shared" si="0"/>
        <v>1.62</v>
      </c>
      <c r="H47" s="23">
        <v>51098.178775064102</v>
      </c>
      <c r="I47" s="23">
        <v>51098.2</v>
      </c>
      <c r="J47" s="31">
        <v>51098.2</v>
      </c>
      <c r="K47" s="24">
        <v>23.77</v>
      </c>
      <c r="L47" s="24">
        <v>46.5</v>
      </c>
      <c r="M47" s="19">
        <v>0.56000000000000005</v>
      </c>
    </row>
    <row r="48" spans="1:13" x14ac:dyDescent="0.2">
      <c r="A48" s="19">
        <v>883</v>
      </c>
      <c r="B48" s="39">
        <v>62.4125000033333</v>
      </c>
      <c r="C48" s="39">
        <v>-98.260000003333303</v>
      </c>
      <c r="D48" s="19">
        <v>83</v>
      </c>
      <c r="E48" s="19">
        <f>VLOOKUP(D48,fdir_metadata!$A$4:$E$64,2,FALSE)</f>
        <v>60000</v>
      </c>
      <c r="F48" s="19">
        <f>VLOOKUP(D48,fdir_metadata!$A$4:$E$64,3,FALSE)</f>
        <v>24000</v>
      </c>
      <c r="G48" s="40">
        <f t="shared" si="0"/>
        <v>1.44</v>
      </c>
      <c r="H48" s="23">
        <v>41654.109893175097</v>
      </c>
      <c r="I48" s="23">
        <v>41654.1</v>
      </c>
      <c r="J48" s="31">
        <v>41654.1</v>
      </c>
      <c r="K48" s="24">
        <v>17.52</v>
      </c>
      <c r="L48" s="24">
        <v>39.1</v>
      </c>
      <c r="M48" s="19">
        <v>0.75</v>
      </c>
    </row>
    <row r="49" spans="1:13" x14ac:dyDescent="0.2">
      <c r="A49" s="19">
        <v>885</v>
      </c>
      <c r="B49" s="39">
        <v>66.450000003333301</v>
      </c>
      <c r="C49" s="39">
        <v>-70.936666663333298</v>
      </c>
      <c r="D49" s="19">
        <v>85</v>
      </c>
      <c r="E49" s="19">
        <f>VLOOKUP(D49,fdir_metadata!$A$4:$E$64,2,FALSE)</f>
        <v>42000</v>
      </c>
      <c r="F49" s="19">
        <f>VLOOKUP(D49,fdir_metadata!$A$4:$E$64,3,FALSE)</f>
        <v>18000</v>
      </c>
      <c r="G49" s="40">
        <f t="shared" si="0"/>
        <v>0.75600000000000001</v>
      </c>
      <c r="H49" s="23">
        <v>49174.051986508501</v>
      </c>
      <c r="I49" s="23">
        <v>49174.1</v>
      </c>
      <c r="J49" s="31">
        <v>49174.1</v>
      </c>
      <c r="K49" s="24">
        <v>8.81</v>
      </c>
      <c r="L49" s="24">
        <v>21.3</v>
      </c>
      <c r="M49" s="19">
        <v>0.73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92E9-47CA-47C3-834C-F52C84DFD2B2}">
  <sheetPr codeName="Sheet3"/>
  <dimension ref="A1:C4"/>
  <sheetViews>
    <sheetView workbookViewId="0">
      <selection activeCell="C4" sqref="C4"/>
    </sheetView>
  </sheetViews>
  <sheetFormatPr defaultRowHeight="15" x14ac:dyDescent="0.25"/>
  <cols>
    <col min="1" max="2" width="23.28515625" bestFit="1" customWidth="1"/>
    <col min="3" max="3" width="25.85546875" bestFit="1" customWidth="1"/>
  </cols>
  <sheetData>
    <row r="1" spans="1:3" x14ac:dyDescent="0.25">
      <c r="A1" s="17" t="s">
        <v>4</v>
      </c>
      <c r="B1" t="s">
        <v>118</v>
      </c>
    </row>
    <row r="3" spans="1:3" x14ac:dyDescent="0.25">
      <c r="A3" t="s">
        <v>114</v>
      </c>
      <c r="B3" t="s">
        <v>115</v>
      </c>
      <c r="C3" t="s">
        <v>117</v>
      </c>
    </row>
    <row r="4" spans="1:3" x14ac:dyDescent="0.25">
      <c r="A4" s="1">
        <v>20.588031855212709</v>
      </c>
      <c r="B4" s="1">
        <v>41.917073170731719</v>
      </c>
      <c r="C4" s="2">
        <v>0.99109756097560986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64"/>
  <sheetViews>
    <sheetView topLeftCell="A2" workbookViewId="0">
      <selection activeCell="G25" sqref="G25"/>
    </sheetView>
  </sheetViews>
  <sheetFormatPr defaultRowHeight="12.75" x14ac:dyDescent="0.2"/>
  <cols>
    <col min="1" max="1" width="11.140625" style="19" bestFit="1" customWidth="1"/>
    <col min="2" max="3" width="9.140625" style="19"/>
    <col min="4" max="4" width="11" style="19" bestFit="1" customWidth="1"/>
    <col min="5" max="5" width="13.28515625" style="19" bestFit="1" customWidth="1"/>
    <col min="6" max="16384" width="9.140625" style="19"/>
  </cols>
  <sheetData>
    <row r="1" spans="1:5" ht="23.25" x14ac:dyDescent="0.35">
      <c r="A1" s="35" t="s">
        <v>130</v>
      </c>
    </row>
    <row r="3" spans="1:5" ht="51" x14ac:dyDescent="0.2">
      <c r="A3" s="18" t="s">
        <v>104</v>
      </c>
      <c r="B3" s="18" t="s">
        <v>105</v>
      </c>
      <c r="C3" s="18" t="s">
        <v>106</v>
      </c>
      <c r="D3" s="18" t="s">
        <v>112</v>
      </c>
      <c r="E3" s="18" t="s">
        <v>133</v>
      </c>
    </row>
    <row r="4" spans="1:5" x14ac:dyDescent="0.2">
      <c r="A4" s="19">
        <v>11</v>
      </c>
      <c r="B4" s="19">
        <v>30000</v>
      </c>
      <c r="C4" s="19">
        <v>66000</v>
      </c>
      <c r="D4" s="41">
        <f>B4*C4/1000000000</f>
        <v>1.98</v>
      </c>
      <c r="E4" s="23">
        <v>240.410899</v>
      </c>
    </row>
    <row r="5" spans="1:5" x14ac:dyDescent="0.2">
      <c r="A5" s="19">
        <v>12</v>
      </c>
      <c r="B5" s="19">
        <v>36000</v>
      </c>
      <c r="C5" s="19">
        <v>36000</v>
      </c>
      <c r="D5" s="41">
        <f t="shared" ref="D5:D64" si="0">B5*C5/1000000000</f>
        <v>1.296</v>
      </c>
      <c r="E5" s="23">
        <v>247.83099099999998</v>
      </c>
    </row>
    <row r="6" spans="1:5" x14ac:dyDescent="0.2">
      <c r="A6" s="19">
        <v>13</v>
      </c>
      <c r="B6" s="19">
        <v>36000</v>
      </c>
      <c r="C6" s="19">
        <v>36000</v>
      </c>
      <c r="D6" s="41">
        <f t="shared" si="0"/>
        <v>1.296</v>
      </c>
      <c r="E6" s="23">
        <v>296.182568</v>
      </c>
    </row>
    <row r="7" spans="1:5" x14ac:dyDescent="0.2">
      <c r="A7" s="19">
        <v>14</v>
      </c>
      <c r="B7" s="19">
        <v>48000</v>
      </c>
      <c r="C7" s="19">
        <v>30000</v>
      </c>
      <c r="D7" s="41">
        <f t="shared" si="0"/>
        <v>1.44</v>
      </c>
      <c r="E7" s="23">
        <v>259.072745</v>
      </c>
    </row>
    <row r="8" spans="1:5" x14ac:dyDescent="0.2">
      <c r="A8" s="19">
        <v>15</v>
      </c>
      <c r="B8" s="19">
        <v>66000</v>
      </c>
      <c r="C8" s="19">
        <v>36000</v>
      </c>
      <c r="D8" s="41">
        <f t="shared" si="0"/>
        <v>2.3759999999999999</v>
      </c>
      <c r="E8" s="23">
        <v>460.777582</v>
      </c>
    </row>
    <row r="9" spans="1:5" x14ac:dyDescent="0.2">
      <c r="A9" s="19">
        <v>16</v>
      </c>
      <c r="B9" s="19">
        <v>24000</v>
      </c>
      <c r="C9" s="19">
        <v>30000</v>
      </c>
      <c r="D9" s="41">
        <f t="shared" si="0"/>
        <v>0.72</v>
      </c>
      <c r="E9" s="23">
        <v>211.41190599999999</v>
      </c>
    </row>
    <row r="10" spans="1:5" x14ac:dyDescent="0.2">
      <c r="A10" s="19">
        <v>17</v>
      </c>
      <c r="B10" s="19">
        <v>24000</v>
      </c>
      <c r="C10" s="19">
        <v>48000</v>
      </c>
      <c r="D10" s="41">
        <f t="shared" si="0"/>
        <v>1.1519999999999999</v>
      </c>
      <c r="E10" s="23">
        <v>275.46250900000001</v>
      </c>
    </row>
    <row r="11" spans="1:5" x14ac:dyDescent="0.2">
      <c r="A11" s="19">
        <v>18</v>
      </c>
      <c r="B11" s="19">
        <v>18000</v>
      </c>
      <c r="C11" s="19">
        <v>30000</v>
      </c>
      <c r="D11" s="41">
        <f t="shared" si="0"/>
        <v>0.54</v>
      </c>
      <c r="E11" s="23">
        <v>28.345917999999998</v>
      </c>
    </row>
    <row r="12" spans="1:5" x14ac:dyDescent="0.2">
      <c r="A12" s="19">
        <v>21</v>
      </c>
      <c r="B12" s="19">
        <v>60000</v>
      </c>
      <c r="C12" s="19">
        <v>30000</v>
      </c>
      <c r="D12" s="41">
        <f t="shared" si="0"/>
        <v>1.8</v>
      </c>
      <c r="E12" s="23">
        <v>180.77104399999999</v>
      </c>
    </row>
    <row r="13" spans="1:5" x14ac:dyDescent="0.2">
      <c r="A13" s="19">
        <v>22</v>
      </c>
      <c r="B13" s="19">
        <v>54000</v>
      </c>
      <c r="C13" s="19">
        <v>30000</v>
      </c>
      <c r="D13" s="41">
        <f t="shared" si="0"/>
        <v>1.62</v>
      </c>
      <c r="E13" s="23">
        <v>279.45606599999996</v>
      </c>
    </row>
    <row r="14" spans="1:5" x14ac:dyDescent="0.2">
      <c r="A14" s="19">
        <v>23</v>
      </c>
      <c r="B14" s="19">
        <v>42000</v>
      </c>
      <c r="C14" s="19">
        <v>36000</v>
      </c>
      <c r="D14" s="41">
        <f t="shared" si="0"/>
        <v>1.512</v>
      </c>
      <c r="E14" s="23">
        <v>134.42823999999999</v>
      </c>
    </row>
    <row r="15" spans="1:5" x14ac:dyDescent="0.2">
      <c r="A15" s="19">
        <v>24</v>
      </c>
      <c r="B15" s="19">
        <v>42000</v>
      </c>
      <c r="C15" s="19">
        <v>30000</v>
      </c>
      <c r="D15" s="41">
        <f t="shared" si="0"/>
        <v>1.26</v>
      </c>
      <c r="E15" s="23">
        <v>248.08309299999999</v>
      </c>
    </row>
    <row r="16" spans="1:5" x14ac:dyDescent="0.2">
      <c r="A16" s="19">
        <v>25</v>
      </c>
      <c r="B16" s="19">
        <v>54000</v>
      </c>
      <c r="C16" s="19">
        <v>36000</v>
      </c>
      <c r="D16" s="41">
        <f t="shared" si="0"/>
        <v>1.944</v>
      </c>
      <c r="E16" s="23">
        <v>116.272229</v>
      </c>
    </row>
    <row r="17" spans="1:5" x14ac:dyDescent="0.2">
      <c r="A17" s="19">
        <v>26</v>
      </c>
      <c r="B17" s="19">
        <v>42000</v>
      </c>
      <c r="C17" s="19">
        <v>36000</v>
      </c>
      <c r="D17" s="41">
        <f t="shared" si="0"/>
        <v>1.512</v>
      </c>
      <c r="E17" s="23">
        <v>174.946853</v>
      </c>
    </row>
    <row r="18" spans="1:5" x14ac:dyDescent="0.2">
      <c r="A18" s="19">
        <v>27</v>
      </c>
      <c r="B18" s="19">
        <v>24000</v>
      </c>
      <c r="C18" s="19">
        <v>18000</v>
      </c>
      <c r="D18" s="41">
        <f t="shared" si="0"/>
        <v>0.432</v>
      </c>
      <c r="E18" s="23">
        <v>8.552403</v>
      </c>
    </row>
    <row r="19" spans="1:5" x14ac:dyDescent="0.2">
      <c r="A19" s="19">
        <v>28</v>
      </c>
      <c r="B19" s="19">
        <v>48000</v>
      </c>
      <c r="C19" s="19">
        <v>42000</v>
      </c>
      <c r="D19" s="41">
        <f t="shared" si="0"/>
        <v>2.016</v>
      </c>
      <c r="E19" s="23">
        <v>413.782263</v>
      </c>
    </row>
    <row r="20" spans="1:5" x14ac:dyDescent="0.2">
      <c r="A20" s="19">
        <v>29</v>
      </c>
      <c r="B20" s="19">
        <v>48000</v>
      </c>
      <c r="C20" s="19">
        <v>42000</v>
      </c>
      <c r="D20" s="41">
        <f t="shared" si="0"/>
        <v>2.016</v>
      </c>
      <c r="E20" s="23">
        <v>336.961906</v>
      </c>
    </row>
    <row r="21" spans="1:5" x14ac:dyDescent="0.2">
      <c r="A21" s="19">
        <v>31</v>
      </c>
      <c r="B21" s="19">
        <v>48000</v>
      </c>
      <c r="C21" s="19">
        <v>36000</v>
      </c>
      <c r="D21" s="41">
        <f t="shared" si="0"/>
        <v>1.728</v>
      </c>
      <c r="E21" s="23">
        <v>399.01985999999999</v>
      </c>
    </row>
    <row r="22" spans="1:5" x14ac:dyDescent="0.2">
      <c r="A22" s="19">
        <v>32</v>
      </c>
      <c r="B22" s="19">
        <v>48000</v>
      </c>
      <c r="C22" s="19">
        <v>36000</v>
      </c>
      <c r="D22" s="41">
        <f t="shared" si="0"/>
        <v>1.728</v>
      </c>
      <c r="E22" s="23">
        <v>286.12017700000001</v>
      </c>
    </row>
    <row r="23" spans="1:5" x14ac:dyDescent="0.2">
      <c r="A23" s="19">
        <v>33</v>
      </c>
      <c r="B23" s="19">
        <v>66000</v>
      </c>
      <c r="C23" s="19">
        <v>24000</v>
      </c>
      <c r="D23" s="41">
        <f t="shared" si="0"/>
        <v>1.5840000000000001</v>
      </c>
      <c r="E23" s="23">
        <v>171.71954599999998</v>
      </c>
    </row>
    <row r="24" spans="1:5" x14ac:dyDescent="0.2">
      <c r="A24" s="19">
        <v>34</v>
      </c>
      <c r="B24" s="19">
        <v>54000</v>
      </c>
      <c r="C24" s="19">
        <v>30000</v>
      </c>
      <c r="D24" s="41">
        <f t="shared" si="0"/>
        <v>1.62</v>
      </c>
      <c r="E24" s="23">
        <v>251.93821199999999</v>
      </c>
    </row>
    <row r="25" spans="1:5" x14ac:dyDescent="0.2">
      <c r="A25" s="19">
        <v>35</v>
      </c>
      <c r="B25" s="19">
        <v>66000</v>
      </c>
      <c r="C25" s="19">
        <v>30000</v>
      </c>
      <c r="D25" s="41">
        <f t="shared" si="0"/>
        <v>1.98</v>
      </c>
      <c r="E25" s="23">
        <v>211.95540099999999</v>
      </c>
    </row>
    <row r="26" spans="1:5" x14ac:dyDescent="0.2">
      <c r="A26" s="19">
        <v>36</v>
      </c>
      <c r="B26" s="19">
        <v>18000</v>
      </c>
      <c r="C26" s="19">
        <v>12000</v>
      </c>
      <c r="D26" s="41">
        <f t="shared" si="0"/>
        <v>0.216</v>
      </c>
      <c r="E26" s="23">
        <v>51.294224</v>
      </c>
    </row>
    <row r="27" spans="1:5" x14ac:dyDescent="0.2">
      <c r="A27" s="19">
        <v>41</v>
      </c>
      <c r="B27" s="19">
        <v>42000</v>
      </c>
      <c r="C27" s="19">
        <v>42000</v>
      </c>
      <c r="D27" s="41">
        <f t="shared" si="0"/>
        <v>1.764</v>
      </c>
      <c r="E27" s="23">
        <v>32.250499999999995</v>
      </c>
    </row>
    <row r="28" spans="1:5" x14ac:dyDescent="0.2">
      <c r="A28" s="19">
        <v>42</v>
      </c>
      <c r="B28" s="19">
        <v>48000</v>
      </c>
      <c r="C28" s="19">
        <v>36000</v>
      </c>
      <c r="D28" s="41">
        <f t="shared" si="0"/>
        <v>1.728</v>
      </c>
      <c r="E28" s="23">
        <v>221.42309799999998</v>
      </c>
    </row>
    <row r="29" spans="1:5" x14ac:dyDescent="0.2">
      <c r="A29" s="19">
        <v>43</v>
      </c>
      <c r="B29" s="19">
        <v>42000</v>
      </c>
      <c r="C29" s="19">
        <v>36000</v>
      </c>
      <c r="D29" s="41">
        <f t="shared" si="0"/>
        <v>1.512</v>
      </c>
      <c r="E29" s="23">
        <v>268.44769199999996</v>
      </c>
    </row>
    <row r="30" spans="1:5" x14ac:dyDescent="0.2">
      <c r="A30" s="19">
        <v>44</v>
      </c>
      <c r="B30" s="19">
        <v>24000</v>
      </c>
      <c r="C30" s="19">
        <v>42000</v>
      </c>
      <c r="D30" s="41">
        <f t="shared" si="0"/>
        <v>1.008</v>
      </c>
      <c r="E30" s="23">
        <v>154.70369199999999</v>
      </c>
    </row>
    <row r="31" spans="1:5" x14ac:dyDescent="0.2">
      <c r="A31" s="19">
        <v>45</v>
      </c>
      <c r="B31" s="19">
        <v>42000</v>
      </c>
      <c r="C31" s="19">
        <v>42000</v>
      </c>
      <c r="D31" s="41">
        <f t="shared" si="0"/>
        <v>1.764</v>
      </c>
      <c r="E31" s="23">
        <v>276.42879899999997</v>
      </c>
    </row>
    <row r="32" spans="1:5" x14ac:dyDescent="0.2">
      <c r="A32" s="19">
        <v>46</v>
      </c>
      <c r="B32" s="19">
        <v>36000</v>
      </c>
      <c r="C32" s="19">
        <v>30000</v>
      </c>
      <c r="D32" s="41">
        <f t="shared" si="0"/>
        <v>1.08</v>
      </c>
      <c r="E32" s="23">
        <v>224.39767699999999</v>
      </c>
    </row>
    <row r="33" spans="1:5" x14ac:dyDescent="0.2">
      <c r="A33" s="19">
        <v>47</v>
      </c>
      <c r="B33" s="19">
        <v>54000</v>
      </c>
      <c r="C33" s="19">
        <v>18000</v>
      </c>
      <c r="D33" s="41">
        <f t="shared" si="0"/>
        <v>0.97199999999999998</v>
      </c>
      <c r="E33" s="23">
        <v>194.757442</v>
      </c>
    </row>
    <row r="34" spans="1:5" x14ac:dyDescent="0.2">
      <c r="A34" s="19">
        <v>48</v>
      </c>
      <c r="B34" s="19">
        <v>36000</v>
      </c>
      <c r="C34" s="19">
        <v>18000</v>
      </c>
      <c r="D34" s="41">
        <f t="shared" si="0"/>
        <v>0.64800000000000002</v>
      </c>
      <c r="E34" s="23">
        <v>149.542439</v>
      </c>
    </row>
    <row r="35" spans="1:5" x14ac:dyDescent="0.2">
      <c r="A35" s="19">
        <v>49</v>
      </c>
      <c r="B35" s="19">
        <v>18000</v>
      </c>
      <c r="C35" s="19">
        <v>18000</v>
      </c>
      <c r="D35" s="41">
        <f t="shared" si="0"/>
        <v>0.32400000000000001</v>
      </c>
      <c r="E35" s="23">
        <v>91.996972</v>
      </c>
    </row>
    <row r="36" spans="1:5" x14ac:dyDescent="0.2">
      <c r="A36" s="19">
        <v>51</v>
      </c>
      <c r="B36" s="19">
        <v>48000</v>
      </c>
      <c r="C36" s="19">
        <v>30000</v>
      </c>
      <c r="D36" s="41">
        <f t="shared" si="0"/>
        <v>1.44</v>
      </c>
      <c r="E36" s="23">
        <v>41.642615999999997</v>
      </c>
    </row>
    <row r="37" spans="1:5" x14ac:dyDescent="0.2">
      <c r="A37" s="19">
        <v>52</v>
      </c>
      <c r="B37" s="19">
        <v>30000</v>
      </c>
      <c r="C37" s="19">
        <v>42000</v>
      </c>
      <c r="D37" s="41">
        <f t="shared" si="0"/>
        <v>1.26</v>
      </c>
      <c r="E37" s="23">
        <v>66.684625999999994</v>
      </c>
    </row>
    <row r="38" spans="1:5" x14ac:dyDescent="0.2">
      <c r="A38" s="19">
        <v>53</v>
      </c>
      <c r="B38" s="19">
        <v>48000</v>
      </c>
      <c r="C38" s="19">
        <v>24000</v>
      </c>
      <c r="D38" s="41">
        <f t="shared" si="0"/>
        <v>1.1519999999999999</v>
      </c>
      <c r="E38" s="23">
        <v>42.983621999999997</v>
      </c>
    </row>
    <row r="39" spans="1:5" x14ac:dyDescent="0.2">
      <c r="A39" s="19">
        <v>54</v>
      </c>
      <c r="B39" s="19">
        <v>60000</v>
      </c>
      <c r="C39" s="19">
        <v>30000</v>
      </c>
      <c r="D39" s="41">
        <f t="shared" si="0"/>
        <v>1.8</v>
      </c>
      <c r="E39" s="23">
        <v>3.1874400000000001</v>
      </c>
    </row>
    <row r="40" spans="1:5" x14ac:dyDescent="0.2">
      <c r="A40" s="19">
        <v>55</v>
      </c>
      <c r="B40" s="19">
        <v>30000</v>
      </c>
      <c r="C40" s="19">
        <v>36000</v>
      </c>
      <c r="D40" s="41">
        <f t="shared" si="0"/>
        <v>1.08</v>
      </c>
      <c r="E40" s="23">
        <v>5.0323459999999995</v>
      </c>
    </row>
    <row r="41" spans="1:5" x14ac:dyDescent="0.2">
      <c r="A41" s="19">
        <v>56</v>
      </c>
      <c r="B41" s="19">
        <v>54000</v>
      </c>
      <c r="C41" s="19">
        <v>48000</v>
      </c>
      <c r="D41" s="41">
        <f t="shared" si="0"/>
        <v>2.5920000000000001</v>
      </c>
      <c r="E41" s="23">
        <v>357.73675900000001</v>
      </c>
    </row>
    <row r="42" spans="1:5" x14ac:dyDescent="0.2">
      <c r="A42" s="19">
        <v>57</v>
      </c>
      <c r="B42" s="19">
        <v>30000</v>
      </c>
      <c r="C42" s="19">
        <v>30000</v>
      </c>
      <c r="D42" s="41">
        <f t="shared" si="0"/>
        <v>0.9</v>
      </c>
      <c r="E42" s="23">
        <v>15.182269</v>
      </c>
    </row>
    <row r="43" spans="1:5" x14ac:dyDescent="0.2">
      <c r="A43" s="19">
        <v>61</v>
      </c>
      <c r="B43" s="19">
        <v>42000</v>
      </c>
      <c r="C43" s="19">
        <v>18000</v>
      </c>
      <c r="D43" s="41">
        <f t="shared" si="0"/>
        <v>0.75600000000000001</v>
      </c>
      <c r="E43" s="23">
        <v>122.77987399999999</v>
      </c>
    </row>
    <row r="44" spans="1:5" x14ac:dyDescent="0.2">
      <c r="A44" s="19">
        <v>62</v>
      </c>
      <c r="B44" s="19">
        <v>42000</v>
      </c>
      <c r="C44" s="19">
        <v>42000</v>
      </c>
      <c r="D44" s="41">
        <f t="shared" si="0"/>
        <v>1.764</v>
      </c>
      <c r="E44" s="23">
        <v>398.81456399999996</v>
      </c>
    </row>
    <row r="45" spans="1:5" x14ac:dyDescent="0.2">
      <c r="A45" s="19">
        <v>63</v>
      </c>
      <c r="B45" s="19">
        <v>24000</v>
      </c>
      <c r="C45" s="19">
        <v>30000</v>
      </c>
      <c r="D45" s="41">
        <f t="shared" si="0"/>
        <v>0.72</v>
      </c>
      <c r="E45" s="23">
        <v>119.92823999999999</v>
      </c>
    </row>
    <row r="46" spans="1:5" x14ac:dyDescent="0.2">
      <c r="A46" s="19">
        <v>64</v>
      </c>
      <c r="B46" s="19">
        <v>36000</v>
      </c>
      <c r="C46" s="19">
        <v>36000</v>
      </c>
      <c r="D46" s="41">
        <f t="shared" si="0"/>
        <v>1.296</v>
      </c>
      <c r="E46" s="23">
        <v>238.82330899999999</v>
      </c>
    </row>
    <row r="47" spans="1:5" x14ac:dyDescent="0.2">
      <c r="A47" s="19">
        <v>65</v>
      </c>
      <c r="B47" s="19">
        <v>24000</v>
      </c>
      <c r="C47" s="19">
        <v>36000</v>
      </c>
      <c r="D47" s="41">
        <f t="shared" si="0"/>
        <v>0.86399999999999999</v>
      </c>
      <c r="E47" s="23">
        <v>132.54916599999999</v>
      </c>
    </row>
    <row r="48" spans="1:5" x14ac:dyDescent="0.2">
      <c r="A48" s="19">
        <v>66</v>
      </c>
      <c r="B48" s="19">
        <v>30000</v>
      </c>
      <c r="C48" s="19">
        <v>60000</v>
      </c>
      <c r="D48" s="41">
        <f t="shared" si="0"/>
        <v>1.8</v>
      </c>
      <c r="E48" s="23">
        <v>114.993639</v>
      </c>
    </row>
    <row r="49" spans="1:5" x14ac:dyDescent="0.2">
      <c r="A49" s="19">
        <v>67</v>
      </c>
      <c r="B49" s="19">
        <v>36000</v>
      </c>
      <c r="C49" s="19">
        <v>36000</v>
      </c>
      <c r="D49" s="41">
        <f t="shared" si="0"/>
        <v>1.296</v>
      </c>
      <c r="E49" s="23">
        <v>71.870116999999993</v>
      </c>
    </row>
    <row r="50" spans="1:5" x14ac:dyDescent="0.2">
      <c r="A50" s="19">
        <v>71</v>
      </c>
      <c r="B50" s="19">
        <v>54000</v>
      </c>
      <c r="C50" s="19">
        <v>24000</v>
      </c>
      <c r="D50" s="41">
        <f t="shared" si="0"/>
        <v>1.296</v>
      </c>
      <c r="E50" s="23">
        <v>242.351586</v>
      </c>
    </row>
    <row r="51" spans="1:5" x14ac:dyDescent="0.2">
      <c r="A51" s="19">
        <v>72</v>
      </c>
      <c r="B51" s="19">
        <v>54000</v>
      </c>
      <c r="C51" s="19">
        <v>30000</v>
      </c>
      <c r="D51" s="41">
        <f t="shared" si="0"/>
        <v>1.62</v>
      </c>
      <c r="E51" s="23">
        <v>232.75527099999999</v>
      </c>
    </row>
    <row r="52" spans="1:5" x14ac:dyDescent="0.2">
      <c r="A52" s="19">
        <v>73</v>
      </c>
      <c r="B52" s="19">
        <v>30000</v>
      </c>
      <c r="C52" s="19">
        <v>36000</v>
      </c>
      <c r="D52" s="41">
        <f t="shared" si="0"/>
        <v>1.08</v>
      </c>
      <c r="E52" s="23">
        <v>98.86399999999999</v>
      </c>
    </row>
    <row r="53" spans="1:5" x14ac:dyDescent="0.2">
      <c r="A53" s="19">
        <v>74</v>
      </c>
      <c r="B53" s="19">
        <v>48000</v>
      </c>
      <c r="C53" s="19">
        <v>36000</v>
      </c>
      <c r="D53" s="41">
        <f t="shared" si="0"/>
        <v>1.728</v>
      </c>
      <c r="E53" s="23">
        <v>304.09211599999998</v>
      </c>
    </row>
    <row r="54" spans="1:5" x14ac:dyDescent="0.2">
      <c r="A54" s="19">
        <v>75</v>
      </c>
      <c r="B54" s="19">
        <v>42000</v>
      </c>
      <c r="C54" s="19">
        <v>42000</v>
      </c>
      <c r="D54" s="41">
        <f t="shared" si="0"/>
        <v>1.764</v>
      </c>
      <c r="E54" s="23">
        <v>171.06345299999998</v>
      </c>
    </row>
    <row r="55" spans="1:5" x14ac:dyDescent="0.2">
      <c r="A55" s="19">
        <v>76</v>
      </c>
      <c r="B55" s="19">
        <v>30000</v>
      </c>
      <c r="C55" s="19">
        <v>18000</v>
      </c>
      <c r="D55" s="41">
        <f t="shared" si="0"/>
        <v>0.54</v>
      </c>
      <c r="E55" s="23">
        <v>12.691766999999999</v>
      </c>
    </row>
    <row r="56" spans="1:5" x14ac:dyDescent="0.2">
      <c r="A56" s="19">
        <v>77</v>
      </c>
      <c r="B56" s="19">
        <v>60000</v>
      </c>
      <c r="C56" s="19">
        <v>48000</v>
      </c>
      <c r="D56" s="41">
        <f t="shared" si="0"/>
        <v>2.88</v>
      </c>
      <c r="E56" s="23">
        <v>187.65142499999999</v>
      </c>
    </row>
    <row r="57" spans="1:5" x14ac:dyDescent="0.2">
      <c r="A57" s="19">
        <v>78</v>
      </c>
      <c r="B57" s="19">
        <v>42000</v>
      </c>
      <c r="C57" s="19">
        <v>24000</v>
      </c>
      <c r="D57" s="41">
        <f t="shared" si="0"/>
        <v>1.008</v>
      </c>
      <c r="E57" s="23">
        <v>133.09088299999999</v>
      </c>
    </row>
    <row r="58" spans="1:5" x14ac:dyDescent="0.2">
      <c r="A58" s="19">
        <v>81</v>
      </c>
      <c r="B58" s="19">
        <v>66000</v>
      </c>
      <c r="C58" s="19">
        <v>30000</v>
      </c>
      <c r="D58" s="41">
        <f t="shared" si="0"/>
        <v>1.98</v>
      </c>
      <c r="E58" s="23">
        <v>140.867133</v>
      </c>
    </row>
    <row r="59" spans="1:5" x14ac:dyDescent="0.2">
      <c r="A59" s="19">
        <v>82</v>
      </c>
      <c r="B59" s="19">
        <v>54000</v>
      </c>
      <c r="C59" s="19">
        <v>30000</v>
      </c>
      <c r="D59" s="41">
        <f t="shared" si="0"/>
        <v>1.62</v>
      </c>
      <c r="E59" s="23">
        <v>241.24369299999998</v>
      </c>
    </row>
    <row r="60" spans="1:5" x14ac:dyDescent="0.2">
      <c r="A60" s="19">
        <v>83</v>
      </c>
      <c r="B60" s="19">
        <v>60000</v>
      </c>
      <c r="C60" s="19">
        <v>24000</v>
      </c>
      <c r="D60" s="41">
        <f t="shared" si="0"/>
        <v>1.44</v>
      </c>
      <c r="E60" s="23">
        <v>172.506339</v>
      </c>
    </row>
    <row r="61" spans="1:5" x14ac:dyDescent="0.2">
      <c r="A61" s="19">
        <v>84</v>
      </c>
      <c r="B61" s="19">
        <v>54000</v>
      </c>
      <c r="C61" s="19">
        <v>12000</v>
      </c>
      <c r="D61" s="41">
        <f t="shared" si="0"/>
        <v>0.64800000000000002</v>
      </c>
      <c r="E61" s="23">
        <v>79.236114000000001</v>
      </c>
    </row>
    <row r="62" spans="1:5" x14ac:dyDescent="0.2">
      <c r="A62" s="19">
        <v>85</v>
      </c>
      <c r="B62" s="19">
        <v>42000</v>
      </c>
      <c r="C62" s="19">
        <v>18000</v>
      </c>
      <c r="D62" s="41">
        <f t="shared" si="0"/>
        <v>0.75600000000000001</v>
      </c>
      <c r="E62" s="23">
        <v>75.36966799999999</v>
      </c>
    </row>
    <row r="63" spans="1:5" x14ac:dyDescent="0.2">
      <c r="A63" s="19">
        <v>86</v>
      </c>
      <c r="B63" s="19">
        <v>78000</v>
      </c>
      <c r="C63" s="19">
        <v>18000</v>
      </c>
      <c r="D63" s="41">
        <f t="shared" si="0"/>
        <v>1.4039999999999999</v>
      </c>
      <c r="E63" s="23">
        <v>105.38192699999999</v>
      </c>
    </row>
    <row r="64" spans="1:5" x14ac:dyDescent="0.2">
      <c r="A64" s="26">
        <v>91</v>
      </c>
      <c r="B64" s="26">
        <v>78000</v>
      </c>
      <c r="C64" s="26">
        <v>36000</v>
      </c>
      <c r="D64" s="43">
        <f t="shared" si="0"/>
        <v>2.8079999999999998</v>
      </c>
      <c r="E64" s="28">
        <v>194.66664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Expt 3 Results</vt:lpstr>
      <vt:lpstr>Expt 4 Results</vt:lpstr>
      <vt:lpstr>Pivot Table Summary</vt:lpstr>
      <vt:lpstr>fdir_metadata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Heberger</dc:creator>
  <cp:lastModifiedBy>Matthew Heberger</cp:lastModifiedBy>
  <cp:lastPrinted>2026-06-13T23:39:07Z</cp:lastPrinted>
  <dcterms:created xsi:type="dcterms:W3CDTF">2023-10-05T09:44:12Z</dcterms:created>
  <dcterms:modified xsi:type="dcterms:W3CDTF">2026-07-05T13:19:07Z</dcterms:modified>
</cp:coreProperties>
</file>