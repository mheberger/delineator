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heberger\Dropbox\RESEARCH\Watershed Article\benchmarking\Experiment 1 - check accuracy\"/>
    </mc:Choice>
  </mc:AlternateContent>
  <xr:revisionPtr revIDLastSave="0" documentId="13_ncr:1_{2DA0B8EC-187C-404C-9BDC-245DA07A4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OUT" sheetId="2" r:id="rId1"/>
    <sheet name="areas_usgs" sheetId="1" r:id="rId2"/>
  </sheets>
  <externalReferences>
    <externalReference r:id="rId3"/>
  </externalReferences>
  <definedNames>
    <definedName name="_xlnm._FilterDatabase" localSheetId="1" hidden="1">areas_usgs!$A$1:$I$101</definedName>
  </definedNames>
  <calcPr calcId="191029"/>
</workbook>
</file>

<file path=xl/calcChain.xml><?xml version="1.0" encoding="utf-8"?>
<calcChain xmlns="http://schemas.openxmlformats.org/spreadsheetml/2006/main">
  <c r="M16" i="1" l="1"/>
  <c r="M15" i="1"/>
  <c r="M13" i="1"/>
  <c r="M12" i="1"/>
  <c r="M11" i="1"/>
  <c r="M10" i="1"/>
  <c r="M9" i="1"/>
  <c r="M8" i="1"/>
  <c r="M7" i="1"/>
  <c r="M5" i="1"/>
  <c r="M4" i="1"/>
  <c r="M3" i="1"/>
  <c r="M2" i="1"/>
  <c r="L16" i="1"/>
  <c r="L15" i="1"/>
  <c r="L13" i="1"/>
  <c r="L12" i="1"/>
  <c r="L11" i="1"/>
  <c r="L10" i="1"/>
  <c r="L9" i="1"/>
  <c r="L8" i="1"/>
  <c r="L7" i="1"/>
  <c r="L5" i="1"/>
  <c r="L4" i="1"/>
  <c r="L3" i="1"/>
  <c r="L2" i="1"/>
  <c r="F13" i="1" a="1"/>
  <c r="F78" i="1" a="1"/>
  <c r="F34" i="1" a="1"/>
  <c r="F20" i="1" a="1"/>
  <c r="F5" i="1" a="1"/>
  <c r="G29" i="1" a="1"/>
  <c r="F7" i="1" a="1"/>
  <c r="F59" i="1" a="1"/>
  <c r="G17" i="1" a="1"/>
  <c r="G81" i="1" a="1"/>
  <c r="G11" i="1" a="1"/>
  <c r="G38" i="1" a="1"/>
  <c r="F61" i="1" a="1"/>
  <c r="G28" i="1" a="1"/>
  <c r="G93" i="1" a="1"/>
  <c r="F26" i="1" a="1"/>
  <c r="G101" i="1" a="1"/>
  <c r="F33" i="1" a="1"/>
  <c r="G20" i="1" a="1"/>
  <c r="G87" i="1" a="1"/>
  <c r="F74" i="1" a="1"/>
  <c r="F55" i="1" a="1"/>
  <c r="F93" i="1" a="1"/>
  <c r="F46" i="1" a="1"/>
  <c r="G3" i="1" a="1"/>
  <c r="G8" i="1" a="1"/>
  <c r="G71" i="1" a="1"/>
  <c r="F53" i="1" a="1"/>
  <c r="F28" i="1" a="1"/>
  <c r="F96" i="1" a="1"/>
  <c r="G92" i="1" a="1"/>
  <c r="G68" i="1" a="1"/>
  <c r="F17" i="1" a="1"/>
  <c r="F27" i="1" a="1"/>
  <c r="G18" i="1" a="1"/>
  <c r="F86" i="1" a="1"/>
  <c r="F57" i="1" a="1"/>
  <c r="F14" i="1" a="1"/>
  <c r="F45" i="1" a="1"/>
  <c r="G69" i="1" a="1"/>
  <c r="F73" i="1" a="1"/>
  <c r="F29" i="1" a="1"/>
  <c r="F75" i="1" a="1"/>
  <c r="G56" i="1" a="1"/>
  <c r="F95" i="1" a="1"/>
  <c r="G94" i="1" a="1"/>
  <c r="F66" i="1" a="1"/>
  <c r="G34" i="1" a="1"/>
  <c r="G6" i="1" a="1"/>
  <c r="G40" i="1" a="1"/>
  <c r="F22" i="1" a="1"/>
  <c r="F43" i="1" a="1"/>
  <c r="G47" i="1" a="1"/>
  <c r="G91" i="1" a="1"/>
  <c r="G76" i="1" a="1"/>
  <c r="G73" i="1" a="1"/>
  <c r="F69" i="1"/>
  <c r="F76" i="1" a="1"/>
  <c r="G66" i="1" a="1"/>
  <c r="G58" i="1" a="1"/>
  <c r="G33" i="1" a="1"/>
  <c r="G59" i="1" a="1"/>
  <c r="F85" i="1" a="1"/>
  <c r="F101" i="1" a="1"/>
  <c r="F60" i="1" a="1"/>
  <c r="G85" i="1" a="1"/>
  <c r="G89" i="1" a="1"/>
  <c r="F52" i="1" a="1"/>
  <c r="F72" i="1" a="1"/>
  <c r="G83" i="1" a="1"/>
  <c r="F35" i="1" a="1"/>
  <c r="F48" i="1" a="1"/>
  <c r="F50" i="1" a="1"/>
  <c r="G54" i="1" a="1"/>
  <c r="G62" i="1" a="1"/>
  <c r="G36" i="1" a="1"/>
  <c r="G13" i="1" a="1"/>
  <c r="G86" i="1" a="1"/>
  <c r="G49" i="1" a="1"/>
  <c r="G53" i="1" a="1"/>
  <c r="G7" i="1" a="1"/>
  <c r="G31" i="1" a="1"/>
  <c r="F31" i="1" a="1"/>
  <c r="G57" i="1" a="1"/>
  <c r="F4" i="1" a="1"/>
  <c r="F21" i="1" a="1"/>
  <c r="F97" i="1" a="1"/>
  <c r="F10" i="1" a="1"/>
  <c r="F47" i="1" a="1"/>
  <c r="F36" i="1" a="1"/>
  <c r="F63" i="1" a="1"/>
  <c r="G79" i="1" a="1"/>
  <c r="F23" i="1" a="1"/>
  <c r="G30" i="1" a="1"/>
  <c r="F92" i="1" a="1"/>
  <c r="F87" i="1" a="1"/>
  <c r="G98" i="1" a="1"/>
  <c r="G4" i="1" a="1"/>
  <c r="G88" i="1" a="1"/>
  <c r="G46" i="1" a="1"/>
  <c r="F19" i="1" a="1"/>
  <c r="G74" i="1" a="1"/>
  <c r="G27" i="1" a="1"/>
  <c r="G16" i="1" a="1"/>
  <c r="G65" i="1" a="1"/>
  <c r="F91" i="1" a="1"/>
  <c r="G14" i="1" a="1"/>
  <c r="G75" i="1" a="1"/>
  <c r="F39" i="1" a="1"/>
  <c r="G64" i="1" a="1"/>
  <c r="G77" i="1" a="1"/>
  <c r="G97" i="1" a="1"/>
  <c r="F37" i="1" a="1"/>
  <c r="G90" i="1" a="1"/>
  <c r="G100" i="1" a="1"/>
  <c r="G70" i="1" a="1"/>
  <c r="G9" i="1" a="1"/>
  <c r="G32" i="1" a="1"/>
  <c r="F67" i="1" a="1"/>
  <c r="G80" i="1" a="1"/>
  <c r="G82" i="1" a="1"/>
  <c r="G99" i="1" a="1"/>
  <c r="F82" i="1" a="1"/>
  <c r="F64" i="1" a="1"/>
  <c r="F79" i="1" a="1"/>
  <c r="F68" i="1" a="1"/>
  <c r="G22" i="1" a="1"/>
  <c r="F58" i="1" a="1"/>
  <c r="G50" i="1" a="1"/>
  <c r="G55" i="1" a="1"/>
  <c r="F88" i="1" a="1"/>
  <c r="G25" i="1" a="1"/>
  <c r="F25" i="1" a="1"/>
  <c r="G23" i="1" a="1"/>
  <c r="G78" i="1" a="1"/>
  <c r="F44" i="1" a="1"/>
  <c r="G41" i="1" a="1"/>
  <c r="G96" i="1" a="1"/>
  <c r="F100" i="1" a="1"/>
  <c r="G48" i="1" a="1"/>
  <c r="G51" i="1" a="1"/>
  <c r="F94" i="1" a="1"/>
  <c r="G95" i="1" a="1"/>
  <c r="G44" i="1" a="1"/>
  <c r="F54" i="1" a="1"/>
  <c r="F40" i="1" a="1"/>
  <c r="G43" i="1" a="1"/>
  <c r="G60" i="1" a="1"/>
  <c r="F80" i="1" a="1"/>
  <c r="G63" i="1" a="1"/>
  <c r="F15" i="1" a="1"/>
  <c r="G19" i="1" a="1"/>
  <c r="G12" i="1" a="1"/>
  <c r="F90" i="1" a="1"/>
  <c r="F8" i="1" a="1"/>
  <c r="F2" i="1" a="1"/>
  <c r="G10" i="1" a="1"/>
  <c r="F99" i="1" a="1"/>
  <c r="F38" i="1" a="1"/>
  <c r="F81" i="1" a="1"/>
  <c r="F70" i="1" a="1"/>
  <c r="G52" i="1" a="1"/>
  <c r="G42" i="1" a="1"/>
  <c r="G72" i="1" a="1"/>
  <c r="F3" i="1" a="1"/>
  <c r="G35" i="1" a="1"/>
  <c r="G24" i="1" a="1"/>
  <c r="F32" i="1" a="1"/>
  <c r="F6" i="1" a="1"/>
  <c r="F41" i="1" a="1"/>
  <c r="F89" i="1" a="1"/>
  <c r="F98" i="1" a="1"/>
  <c r="F62" i="1" a="1"/>
  <c r="F16" i="1" a="1"/>
  <c r="F51" i="1" a="1"/>
  <c r="G26" i="1" a="1"/>
  <c r="F65" i="1" a="1"/>
  <c r="F71" i="1" a="1"/>
  <c r="G39" i="1" a="1"/>
  <c r="F11" i="1" a="1"/>
  <c r="F30" i="1" a="1"/>
  <c r="G15" i="1" a="1"/>
  <c r="G2" i="1" a="1"/>
  <c r="F24" i="1" a="1"/>
  <c r="G5" i="1" a="1"/>
  <c r="F18" i="1" a="1"/>
  <c r="G84" i="1" a="1"/>
  <c r="F12" i="1" a="1"/>
  <c r="G21" i="1" a="1"/>
  <c r="F49" i="1" a="1"/>
  <c r="G61" i="1" a="1"/>
  <c r="F83" i="1" a="1"/>
  <c r="G45" i="1" a="1"/>
  <c r="F9" i="1" a="1"/>
  <c r="G67" i="1" a="1"/>
  <c r="F56" i="1" a="1"/>
  <c r="F84" i="1" a="1"/>
  <c r="G37" i="1" a="1"/>
  <c r="F42" i="1" a="1"/>
  <c r="F77" i="1" a="1"/>
  <c r="G10" i="1" l="1"/>
  <c r="F48" i="1"/>
  <c r="G77" i="1"/>
  <c r="G99" i="1"/>
  <c r="F80" i="1"/>
  <c r="G51" i="1"/>
  <c r="F95" i="1"/>
  <c r="F63" i="1"/>
  <c r="F31" i="1"/>
  <c r="G100" i="1"/>
  <c r="G70" i="1"/>
  <c r="F44" i="1"/>
  <c r="F28" i="1"/>
  <c r="F88" i="1"/>
  <c r="G69" i="1"/>
  <c r="G49" i="1"/>
  <c r="G29" i="1"/>
  <c r="G13" i="1"/>
  <c r="G87" i="1"/>
  <c r="G75" i="1"/>
  <c r="F93" i="1"/>
  <c r="F77" i="1"/>
  <c r="F61" i="1"/>
  <c r="F45" i="1"/>
  <c r="F29" i="1"/>
  <c r="F13" i="1"/>
  <c r="G96" i="1"/>
  <c r="G68" i="1"/>
  <c r="G52" i="1"/>
  <c r="G36" i="1"/>
  <c r="G20" i="1"/>
  <c r="G4" i="1"/>
  <c r="F98" i="1"/>
  <c r="F74" i="1"/>
  <c r="F58" i="1"/>
  <c r="F42" i="1"/>
  <c r="F26" i="1"/>
  <c r="F10" i="1"/>
  <c r="F78" i="1"/>
  <c r="G65" i="1"/>
  <c r="G47" i="1"/>
  <c r="G27" i="1"/>
  <c r="G11" i="1"/>
  <c r="G79" i="1"/>
  <c r="G67" i="1"/>
  <c r="F91" i="1"/>
  <c r="F75" i="1"/>
  <c r="F59" i="1"/>
  <c r="F43" i="1"/>
  <c r="F27" i="1"/>
  <c r="F11" i="1"/>
  <c r="G76" i="1"/>
  <c r="F16" i="1"/>
  <c r="F33" i="1"/>
  <c r="G56" i="1"/>
  <c r="F46" i="1"/>
  <c r="G73" i="1"/>
  <c r="G31" i="1"/>
  <c r="G81" i="1"/>
  <c r="F79" i="1"/>
  <c r="F47" i="1"/>
  <c r="F15" i="1"/>
  <c r="G72" i="1"/>
  <c r="G54" i="1"/>
  <c r="G38" i="1"/>
  <c r="G22" i="1"/>
  <c r="G6" i="1"/>
  <c r="F76" i="1"/>
  <c r="F60" i="1"/>
  <c r="F12" i="1"/>
  <c r="G92" i="1"/>
  <c r="G66" i="1"/>
  <c r="G50" i="1"/>
  <c r="G34" i="1"/>
  <c r="G18" i="1"/>
  <c r="G98" i="1"/>
  <c r="F94" i="1"/>
  <c r="F72" i="1"/>
  <c r="F56" i="1"/>
  <c r="F40" i="1"/>
  <c r="F24" i="1"/>
  <c r="F8" i="1"/>
  <c r="G101" i="1"/>
  <c r="G61" i="1"/>
  <c r="G41" i="1"/>
  <c r="G25" i="1"/>
  <c r="G9" i="1"/>
  <c r="G71" i="1"/>
  <c r="G63" i="1"/>
  <c r="F89" i="1"/>
  <c r="F73" i="1"/>
  <c r="F57" i="1"/>
  <c r="F41" i="1"/>
  <c r="F25" i="1"/>
  <c r="F9" i="1"/>
  <c r="G2" i="1"/>
  <c r="G26" i="1"/>
  <c r="F64" i="1"/>
  <c r="F96" i="1"/>
  <c r="G17" i="1"/>
  <c r="F65" i="1"/>
  <c r="G74" i="1"/>
  <c r="G24" i="1"/>
  <c r="F30" i="1"/>
  <c r="G93" i="1"/>
  <c r="G64" i="1"/>
  <c r="G48" i="1"/>
  <c r="G32" i="1"/>
  <c r="G16" i="1"/>
  <c r="G94" i="1"/>
  <c r="F90" i="1"/>
  <c r="F70" i="1"/>
  <c r="F54" i="1"/>
  <c r="F38" i="1"/>
  <c r="F6" i="1"/>
  <c r="G95" i="1"/>
  <c r="G45" i="1"/>
  <c r="G43" i="1"/>
  <c r="F87" i="1"/>
  <c r="F71" i="1"/>
  <c r="F55" i="1"/>
  <c r="F39" i="1"/>
  <c r="F23" i="1"/>
  <c r="F7" i="1"/>
  <c r="G58" i="1"/>
  <c r="G42" i="1"/>
  <c r="F82" i="1"/>
  <c r="F32" i="1"/>
  <c r="G53" i="1"/>
  <c r="G85" i="1"/>
  <c r="F97" i="1"/>
  <c r="F49" i="1"/>
  <c r="F2" i="1"/>
  <c r="G40" i="1"/>
  <c r="G78" i="1"/>
  <c r="F92" i="1"/>
  <c r="F22" i="1"/>
  <c r="G59" i="1"/>
  <c r="G39" i="1"/>
  <c r="G23" i="1"/>
  <c r="G7" i="1"/>
  <c r="G84" i="1"/>
  <c r="G62" i="1"/>
  <c r="G46" i="1"/>
  <c r="G30" i="1"/>
  <c r="G14" i="1"/>
  <c r="G90" i="1"/>
  <c r="F86" i="1"/>
  <c r="F68" i="1"/>
  <c r="F52" i="1"/>
  <c r="F36" i="1"/>
  <c r="F20" i="1"/>
  <c r="F4" i="1"/>
  <c r="G89" i="1"/>
  <c r="G57" i="1"/>
  <c r="G37" i="1"/>
  <c r="G21" i="1"/>
  <c r="G5" i="1"/>
  <c r="G97" i="1"/>
  <c r="F101" i="1"/>
  <c r="F85" i="1"/>
  <c r="F53" i="1"/>
  <c r="F37" i="1"/>
  <c r="F21" i="1"/>
  <c r="F5" i="1"/>
  <c r="G82" i="1"/>
  <c r="G33" i="1"/>
  <c r="F81" i="1"/>
  <c r="F17" i="1"/>
  <c r="G8" i="1"/>
  <c r="F62" i="1"/>
  <c r="F14" i="1"/>
  <c r="G15" i="1"/>
  <c r="G88" i="1"/>
  <c r="G80" i="1"/>
  <c r="G60" i="1"/>
  <c r="G44" i="1"/>
  <c r="G28" i="1"/>
  <c r="G12" i="1"/>
  <c r="G86" i="1"/>
  <c r="F84" i="1"/>
  <c r="F66" i="1"/>
  <c r="F50" i="1"/>
  <c r="F34" i="1"/>
  <c r="F18" i="1"/>
  <c r="F100" i="1"/>
  <c r="G83" i="1"/>
  <c r="G55" i="1"/>
  <c r="G35" i="1"/>
  <c r="G19" i="1"/>
  <c r="G3" i="1"/>
  <c r="G91" i="1"/>
  <c r="F99" i="1"/>
  <c r="F83" i="1"/>
  <c r="F67" i="1"/>
  <c r="F51" i="1"/>
  <c r="F35" i="1"/>
  <c r="F19" i="1"/>
  <c r="F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<sst xmlns="http://schemas.openxmlformats.org/spreadsheetml/2006/main" count="129" uniqueCount="125">
  <si>
    <t>gage</t>
  </si>
  <si>
    <t>num</t>
  </si>
  <si>
    <t>usgs_area</t>
  </si>
  <si>
    <t>01015800</t>
  </si>
  <si>
    <t>01092000</t>
  </si>
  <si>
    <t>01094000</t>
  </si>
  <si>
    <t>01170500</t>
  </si>
  <si>
    <t>01209901</t>
  </si>
  <si>
    <t>01318500</t>
  </si>
  <si>
    <t>01403060</t>
  </si>
  <si>
    <t>01431500</t>
  </si>
  <si>
    <t>01464907</t>
  </si>
  <si>
    <t>01480870</t>
  </si>
  <si>
    <t>01488500</t>
  </si>
  <si>
    <t>01520500</t>
  </si>
  <si>
    <t>01555500</t>
  </si>
  <si>
    <t>01567000</t>
  </si>
  <si>
    <t>02070500</t>
  </si>
  <si>
    <t>02110500</t>
  </si>
  <si>
    <t>02131000</t>
  </si>
  <si>
    <t>02225500</t>
  </si>
  <si>
    <t>02226500</t>
  </si>
  <si>
    <t>02299950</t>
  </si>
  <si>
    <t>02365200</t>
  </si>
  <si>
    <t>02374500</t>
  </si>
  <si>
    <t>03050000</t>
  </si>
  <si>
    <t>03072655</t>
  </si>
  <si>
    <t>03086000</t>
  </si>
  <si>
    <t>03102500</t>
  </si>
  <si>
    <t>03155000</t>
  </si>
  <si>
    <t>03171000</t>
  </si>
  <si>
    <t>03180500</t>
  </si>
  <si>
    <t>03208500</t>
  </si>
  <si>
    <t>03252500</t>
  </si>
  <si>
    <t>03335000</t>
  </si>
  <si>
    <t>03410500</t>
  </si>
  <si>
    <t>03424730</t>
  </si>
  <si>
    <t>03479000</t>
  </si>
  <si>
    <t>03588500</t>
  </si>
  <si>
    <t>04099000</t>
  </si>
  <si>
    <t>04100500</t>
  </si>
  <si>
    <t>04172000</t>
  </si>
  <si>
    <t>05053000</t>
  </si>
  <si>
    <t>05060000</t>
  </si>
  <si>
    <t>05122000</t>
  </si>
  <si>
    <t>05127000</t>
  </si>
  <si>
    <t>05275000</t>
  </si>
  <si>
    <t>05433000</t>
  </si>
  <si>
    <t>05463000</t>
  </si>
  <si>
    <t>05479000</t>
  </si>
  <si>
    <t>05481000</t>
  </si>
  <si>
    <t>05495000</t>
  </si>
  <si>
    <t>05515500</t>
  </si>
  <si>
    <t>05534500</t>
  </si>
  <si>
    <t>06050000</t>
  </si>
  <si>
    <t>06120500</t>
  </si>
  <si>
    <t>06178000</t>
  </si>
  <si>
    <t>06278300</t>
  </si>
  <si>
    <t>06336000</t>
  </si>
  <si>
    <t>06386500</t>
  </si>
  <si>
    <t>06478000</t>
  </si>
  <si>
    <t>06481000</t>
  </si>
  <si>
    <t>06600500</t>
  </si>
  <si>
    <t>06620000</t>
  </si>
  <si>
    <t>06715000</t>
  </si>
  <si>
    <t>06719505</t>
  </si>
  <si>
    <t>06856600</t>
  </si>
  <si>
    <t>06870300</t>
  </si>
  <si>
    <t>06876000</t>
  </si>
  <si>
    <t>06904500</t>
  </si>
  <si>
    <t>06906500</t>
  </si>
  <si>
    <t>07026040</t>
  </si>
  <si>
    <t>07063000</t>
  </si>
  <si>
    <t>07086000</t>
  </si>
  <si>
    <t>07156900</t>
  </si>
  <si>
    <t>07195400</t>
  </si>
  <si>
    <t>07238000</t>
  </si>
  <si>
    <t>07242000</t>
  </si>
  <si>
    <t>07274000</t>
  </si>
  <si>
    <t>07282000</t>
  </si>
  <si>
    <t>07288500</t>
  </si>
  <si>
    <t>07312200</t>
  </si>
  <si>
    <t>07326500</t>
  </si>
  <si>
    <t>07328500</t>
  </si>
  <si>
    <t>07331000</t>
  </si>
  <si>
    <t>07331600</t>
  </si>
  <si>
    <t>07375300</t>
  </si>
  <si>
    <t>08026000</t>
  </si>
  <si>
    <t>08044000</t>
  </si>
  <si>
    <t>08111700</t>
  </si>
  <si>
    <t>08176900</t>
  </si>
  <si>
    <t>08279000</t>
  </si>
  <si>
    <t>08287000</t>
  </si>
  <si>
    <t>08390800</t>
  </si>
  <si>
    <t>08407500</t>
  </si>
  <si>
    <t>08449000</t>
  </si>
  <si>
    <t>09050700</t>
  </si>
  <si>
    <t>09115500</t>
  </si>
  <si>
    <t>09217900</t>
  </si>
  <si>
    <t>09306242</t>
  </si>
  <si>
    <t>09379500</t>
  </si>
  <si>
    <t>09512500</t>
  </si>
  <si>
    <t>09519800</t>
  </si>
  <si>
    <t>pd_esri</t>
  </si>
  <si>
    <t>pd_mine</t>
  </si>
  <si>
    <t>cac_mine</t>
  </si>
  <si>
    <t>cac_esri</t>
  </si>
  <si>
    <t>n</t>
  </si>
  <si>
    <t>Median</t>
  </si>
  <si>
    <t>Average</t>
  </si>
  <si>
    <t>St. Dev.</t>
  </si>
  <si>
    <t>--------</t>
  </si>
  <si>
    <t>Min.</t>
  </si>
  <si>
    <t>10%-ile</t>
  </si>
  <si>
    <t>25%-ile</t>
  </si>
  <si>
    <t>50%-ile</t>
  </si>
  <si>
    <t>75%-ile</t>
  </si>
  <si>
    <t>90%-ile</t>
  </si>
  <si>
    <t>Max.</t>
  </si>
  <si>
    <t>-----</t>
  </si>
  <si>
    <t>Coeff. of Variation</t>
  </si>
  <si>
    <t>Coeff. of Skew</t>
  </si>
  <si>
    <t>ESRI watersheds</t>
  </si>
  <si>
    <t>delineator.py watersheds</t>
  </si>
  <si>
    <t xml:space="preserve">the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</si>
</sst>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11" fontId="0" fillId="0" borderId="0" xfId="0" applyNumberFormat="1"/>
    <xf numFmtId="165" fontId="0" fillId="0" borderId="0" xfId="2" applyNumberFormat="1" applyFont="1"/>
    <xf numFmtId="43" fontId="0" fillId="0" borderId="0" xfId="1" applyFont="1"/>
    <xf numFmtId="43" fontId="0" fillId="0" borderId="0" xfId="0" applyNumberFormat="1"/>
    <xf numFmtId="2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36816883980281"/>
          <c:y val="3.1473526528668284E-2"/>
          <c:w val="0.64999942357132157"/>
          <c:h val="0.81550790994831535"/>
        </c:manualLayout>
      </c:layout>
      <c:scatterChart>
        <c:scatterStyle val="lineMarker"/>
        <c:varyColors val="0"/>
        <c:ser>
          <c:idx val="2"/>
          <c:order val="0"/>
          <c:tx>
            <c:strRef>
              <c:f>areas_usgs!$D$1</c:f>
              <c:strCache>
                <c:ptCount val="1"/>
                <c:pt idx="0">
                  <c:v>ESRI watersheds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areas_usgs!$C$2:$C$101</c:f>
              <c:numCache>
                <c:formatCode>_(* #,##0.0_);_(* \(#,##0.0\);_(* "-"??_);_(@_)</c:formatCode>
                <c:ptCount val="100"/>
                <c:pt idx="0">
                  <c:v>2318.0469515762902</c:v>
                </c:pt>
                <c:pt idx="1">
                  <c:v>7987.3832622111304</c:v>
                </c:pt>
                <c:pt idx="2">
                  <c:v>441.138514383298</c:v>
                </c:pt>
                <c:pt idx="3">
                  <c:v>20373.543272057101</c:v>
                </c:pt>
                <c:pt idx="4">
                  <c:v>94.200207429473707</c:v>
                </c:pt>
                <c:pt idx="5">
                  <c:v>4304.6375818730503</c:v>
                </c:pt>
                <c:pt idx="6">
                  <c:v>2022.5242100927401</c:v>
                </c:pt>
                <c:pt idx="7">
                  <c:v>746.49493080252296</c:v>
                </c:pt>
                <c:pt idx="8">
                  <c:v>71.124095427162104</c:v>
                </c:pt>
                <c:pt idx="9">
                  <c:v>232.44566245857499</c:v>
                </c:pt>
                <c:pt idx="10">
                  <c:v>127.36828179480599</c:v>
                </c:pt>
                <c:pt idx="11">
                  <c:v>1988.13739011383</c:v>
                </c:pt>
                <c:pt idx="12">
                  <c:v>426.62628468317001</c:v>
                </c:pt>
                <c:pt idx="13">
                  <c:v>8681.3828895657698</c:v>
                </c:pt>
                <c:pt idx="14">
                  <c:v>673.34772051253299</c:v>
                </c:pt>
                <c:pt idx="15">
                  <c:v>2913.1803471779799</c:v>
                </c:pt>
                <c:pt idx="16">
                  <c:v>22833.0729099698</c:v>
                </c:pt>
                <c:pt idx="17">
                  <c:v>2931.5218708840798</c:v>
                </c:pt>
                <c:pt idx="18">
                  <c:v>3238.71996751597</c:v>
                </c:pt>
                <c:pt idx="19">
                  <c:v>182.19197182523001</c:v>
                </c:pt>
                <c:pt idx="20">
                  <c:v>8245.2113930779196</c:v>
                </c:pt>
                <c:pt idx="21">
                  <c:v>456.694898514736</c:v>
                </c:pt>
                <c:pt idx="22">
                  <c:v>486.467487964508</c:v>
                </c:pt>
                <c:pt idx="23">
                  <c:v>11548.4828674209</c:v>
                </c:pt>
                <c:pt idx="24">
                  <c:v>50495.008506990001</c:v>
                </c:pt>
                <c:pt idx="25">
                  <c:v>369.77525948523999</c:v>
                </c:pt>
                <c:pt idx="26">
                  <c:v>3926.57978169542</c:v>
                </c:pt>
                <c:pt idx="27">
                  <c:v>7169.0664647302101</c:v>
                </c:pt>
                <c:pt idx="28">
                  <c:v>346.23904531303799</c:v>
                </c:pt>
                <c:pt idx="29">
                  <c:v>746.95091073966898</c:v>
                </c:pt>
                <c:pt idx="30">
                  <c:v>1610.4261176076</c:v>
                </c:pt>
                <c:pt idx="31">
                  <c:v>2059.7503503635398</c:v>
                </c:pt>
                <c:pt idx="32">
                  <c:v>2474.1694040828902</c:v>
                </c:pt>
                <c:pt idx="33">
                  <c:v>554.67548446107799</c:v>
                </c:pt>
                <c:pt idx="34">
                  <c:v>237.80825542473301</c:v>
                </c:pt>
                <c:pt idx="35">
                  <c:v>901.01290024507</c:v>
                </c:pt>
                <c:pt idx="36">
                  <c:v>4891.2168164833402</c:v>
                </c:pt>
                <c:pt idx="37">
                  <c:v>1539.63654619268</c:v>
                </c:pt>
                <c:pt idx="38">
                  <c:v>840.07013969780701</c:v>
                </c:pt>
                <c:pt idx="39">
                  <c:v>5130.5680294297999</c:v>
                </c:pt>
                <c:pt idx="40">
                  <c:v>3685.7316744702898</c:v>
                </c:pt>
                <c:pt idx="41">
                  <c:v>28452.150727303298</c:v>
                </c:pt>
                <c:pt idx="42">
                  <c:v>3415.9803727854101</c:v>
                </c:pt>
                <c:pt idx="43">
                  <c:v>1373.5925041770299</c:v>
                </c:pt>
                <c:pt idx="44">
                  <c:v>572.82969698731097</c:v>
                </c:pt>
                <c:pt idx="45">
                  <c:v>910.89739476151203</c:v>
                </c:pt>
                <c:pt idx="46">
                  <c:v>3368.9477012265302</c:v>
                </c:pt>
                <c:pt idx="47">
                  <c:v>2187.1981182543</c:v>
                </c:pt>
                <c:pt idx="48">
                  <c:v>1031.6262794602701</c:v>
                </c:pt>
                <c:pt idx="49">
                  <c:v>1369.03057216819</c:v>
                </c:pt>
                <c:pt idx="50">
                  <c:v>62.119202966032098</c:v>
                </c:pt>
                <c:pt idx="51">
                  <c:v>126.09763881560301</c:v>
                </c:pt>
                <c:pt idx="52">
                  <c:v>2885.6995773697899</c:v>
                </c:pt>
                <c:pt idx="53">
                  <c:v>927.67845472319402</c:v>
                </c:pt>
                <c:pt idx="54">
                  <c:v>59.192570965161998</c:v>
                </c:pt>
                <c:pt idx="55">
                  <c:v>16073.739956002401</c:v>
                </c:pt>
                <c:pt idx="56">
                  <c:v>13787.8727639679</c:v>
                </c:pt>
                <c:pt idx="57">
                  <c:v>43599.051204700001</c:v>
                </c:pt>
                <c:pt idx="58">
                  <c:v>7599.4857834327604</c:v>
                </c:pt>
                <c:pt idx="59">
                  <c:v>2297.9099564878202</c:v>
                </c:pt>
                <c:pt idx="60">
                  <c:v>3686.16716976204</c:v>
                </c:pt>
                <c:pt idx="61">
                  <c:v>225.233377099987</c:v>
                </c:pt>
                <c:pt idx="62">
                  <c:v>1027.1574502050901</c:v>
                </c:pt>
                <c:pt idx="63">
                  <c:v>58160.603018481997</c:v>
                </c:pt>
                <c:pt idx="64">
                  <c:v>306.13703930886902</c:v>
                </c:pt>
                <c:pt idx="65">
                  <c:v>14096.116608721601</c:v>
                </c:pt>
                <c:pt idx="66">
                  <c:v>3535.4127030458499</c:v>
                </c:pt>
                <c:pt idx="67">
                  <c:v>1249847.5746633499</c:v>
                </c:pt>
                <c:pt idx="68">
                  <c:v>4760.34728235885</c:v>
                </c:pt>
                <c:pt idx="69">
                  <c:v>3245.2444206629598</c:v>
                </c:pt>
                <c:pt idx="70">
                  <c:v>1111.20549871859</c:v>
                </c:pt>
                <c:pt idx="71">
                  <c:v>16474.2680639426</c:v>
                </c:pt>
                <c:pt idx="72">
                  <c:v>1318.38368705516</c:v>
                </c:pt>
                <c:pt idx="73">
                  <c:v>32302.875286681399</c:v>
                </c:pt>
                <c:pt idx="74">
                  <c:v>37418.505558058299</c:v>
                </c:pt>
                <c:pt idx="75">
                  <c:v>627.44083885285602</c:v>
                </c:pt>
                <c:pt idx="76">
                  <c:v>445.29239349718603</c:v>
                </c:pt>
                <c:pt idx="77">
                  <c:v>1978.8571862112101</c:v>
                </c:pt>
                <c:pt idx="78">
                  <c:v>1691.13425740517</c:v>
                </c:pt>
                <c:pt idx="79">
                  <c:v>9454.5903513894391</c:v>
                </c:pt>
                <c:pt idx="80">
                  <c:v>13760.512279521899</c:v>
                </c:pt>
                <c:pt idx="81">
                  <c:v>18572.4069781697</c:v>
                </c:pt>
                <c:pt idx="82">
                  <c:v>99970.682261168506</c:v>
                </c:pt>
                <c:pt idx="83">
                  <c:v>629.27634547646403</c:v>
                </c:pt>
                <c:pt idx="84">
                  <c:v>19492.750986273801</c:v>
                </c:pt>
                <c:pt idx="85">
                  <c:v>870.15388184571805</c:v>
                </c:pt>
                <c:pt idx="86">
                  <c:v>989.98472829126194</c:v>
                </c:pt>
                <c:pt idx="87">
                  <c:v>924.20696344619</c:v>
                </c:pt>
                <c:pt idx="88">
                  <c:v>831.19296781604999</c:v>
                </c:pt>
                <c:pt idx="89">
                  <c:v>5378.1283199917398</c:v>
                </c:pt>
                <c:pt idx="90">
                  <c:v>2509.1564051201299</c:v>
                </c:pt>
                <c:pt idx="91">
                  <c:v>49579.891464503802</c:v>
                </c:pt>
                <c:pt idx="92">
                  <c:v>7191.5889600389901</c:v>
                </c:pt>
                <c:pt idx="93">
                  <c:v>829.97796641268803</c:v>
                </c:pt>
                <c:pt idx="94">
                  <c:v>384.77301484190502</c:v>
                </c:pt>
                <c:pt idx="95">
                  <c:v>335.04731578508301</c:v>
                </c:pt>
                <c:pt idx="96">
                  <c:v>88.190147893682607</c:v>
                </c:pt>
                <c:pt idx="97">
                  <c:v>59266.508714017502</c:v>
                </c:pt>
                <c:pt idx="98">
                  <c:v>1516.94369685058</c:v>
                </c:pt>
                <c:pt idx="99">
                  <c:v>127675.747082332</c:v>
                </c:pt>
              </c:numCache>
            </c:numRef>
          </c:xVal>
          <c:yVal>
            <c:numRef>
              <c:f>areas_usgs!$D$2:$D$101</c:f>
              <c:numCache>
                <c:formatCode>_(* #,##0.0_);_(* \(#,##0.0\);_(* "-"??_);_(@_)</c:formatCode>
                <c:ptCount val="100"/>
                <c:pt idx="0">
                  <c:v>2318.201</c:v>
                </c:pt>
                <c:pt idx="1">
                  <c:v>2.3E-2</c:v>
                </c:pt>
                <c:pt idx="2">
                  <c:v>440.33600000000001</c:v>
                </c:pt>
                <c:pt idx="3">
                  <c:v>20353.546999999999</c:v>
                </c:pt>
                <c:pt idx="4">
                  <c:v>89.896000000000001</c:v>
                </c:pt>
                <c:pt idx="5">
                  <c:v>4304.451</c:v>
                </c:pt>
                <c:pt idx="6">
                  <c:v>2022.1320000000001</c:v>
                </c:pt>
                <c:pt idx="7">
                  <c:v>745.96600000000001</c:v>
                </c:pt>
                <c:pt idx="8">
                  <c:v>70.188999999999993</c:v>
                </c:pt>
                <c:pt idx="9">
                  <c:v>234.12899999999999</c:v>
                </c:pt>
                <c:pt idx="10">
                  <c:v>121.81699999999999</c:v>
                </c:pt>
                <c:pt idx="11">
                  <c:v>1987.549</c:v>
                </c:pt>
                <c:pt idx="12">
                  <c:v>420.69</c:v>
                </c:pt>
                <c:pt idx="13">
                  <c:v>8680.6810000000005</c:v>
                </c:pt>
                <c:pt idx="14">
                  <c:v>672.44100000000003</c:v>
                </c:pt>
                <c:pt idx="15">
                  <c:v>2913.1170000000002</c:v>
                </c:pt>
                <c:pt idx="16">
                  <c:v>22830.316999999999</c:v>
                </c:pt>
                <c:pt idx="17">
                  <c:v>2931.56</c:v>
                </c:pt>
                <c:pt idx="18">
                  <c:v>3239.8620000000001</c:v>
                </c:pt>
                <c:pt idx="19">
                  <c:v>179.58500000000001</c:v>
                </c:pt>
                <c:pt idx="20">
                  <c:v>8246.9779999999992</c:v>
                </c:pt>
                <c:pt idx="21">
                  <c:v>456.23700000000002</c:v>
                </c:pt>
                <c:pt idx="22">
                  <c:v>486.13099999999997</c:v>
                </c:pt>
                <c:pt idx="23">
                  <c:v>4.0469999999999997</c:v>
                </c:pt>
                <c:pt idx="24">
                  <c:v>6.4000000000000001E-2</c:v>
                </c:pt>
                <c:pt idx="25">
                  <c:v>366.04399999999998</c:v>
                </c:pt>
                <c:pt idx="26">
                  <c:v>3925.4229999999998</c:v>
                </c:pt>
                <c:pt idx="27">
                  <c:v>7168.8450000000003</c:v>
                </c:pt>
                <c:pt idx="28">
                  <c:v>344.76499999999999</c:v>
                </c:pt>
                <c:pt idx="29">
                  <c:v>740.87099999999998</c:v>
                </c:pt>
                <c:pt idx="30">
                  <c:v>1609.231</c:v>
                </c:pt>
                <c:pt idx="31">
                  <c:v>2056.63</c:v>
                </c:pt>
                <c:pt idx="32">
                  <c:v>60.396999999999998</c:v>
                </c:pt>
                <c:pt idx="33">
                  <c:v>554.36300000000006</c:v>
                </c:pt>
                <c:pt idx="34">
                  <c:v>89.855999999999995</c:v>
                </c:pt>
                <c:pt idx="35">
                  <c:v>901.03200000000004</c:v>
                </c:pt>
                <c:pt idx="36">
                  <c:v>4890.42</c:v>
                </c:pt>
                <c:pt idx="37">
                  <c:v>1541.325</c:v>
                </c:pt>
                <c:pt idx="38">
                  <c:v>829.10299999999995</c:v>
                </c:pt>
                <c:pt idx="39">
                  <c:v>5079.5780000000004</c:v>
                </c:pt>
                <c:pt idx="40">
                  <c:v>1.4E-2</c:v>
                </c:pt>
                <c:pt idx="41">
                  <c:v>21823.973999999998</c:v>
                </c:pt>
                <c:pt idx="42">
                  <c:v>3418.0819999999999</c:v>
                </c:pt>
                <c:pt idx="43">
                  <c:v>1319.8789999999999</c:v>
                </c:pt>
                <c:pt idx="44">
                  <c:v>572.29899999999998</c:v>
                </c:pt>
                <c:pt idx="45">
                  <c:v>909.71600000000001</c:v>
                </c:pt>
                <c:pt idx="46">
                  <c:v>3366.3139999999999</c:v>
                </c:pt>
                <c:pt idx="47">
                  <c:v>2190.9059999999999</c:v>
                </c:pt>
                <c:pt idx="48">
                  <c:v>1026.5609999999999</c:v>
                </c:pt>
                <c:pt idx="49">
                  <c:v>1332.106</c:v>
                </c:pt>
                <c:pt idx="50">
                  <c:v>49.790999999999997</c:v>
                </c:pt>
                <c:pt idx="51">
                  <c:v>125.617</c:v>
                </c:pt>
                <c:pt idx="52">
                  <c:v>7.0000000000000001E-3</c:v>
                </c:pt>
                <c:pt idx="53">
                  <c:v>926.53899999999999</c:v>
                </c:pt>
                <c:pt idx="54">
                  <c:v>58.921999999999997</c:v>
                </c:pt>
                <c:pt idx="55">
                  <c:v>0.40200000000000002</c:v>
                </c:pt>
                <c:pt idx="56">
                  <c:v>13786.35</c:v>
                </c:pt>
                <c:pt idx="57">
                  <c:v>45476.995000000003</c:v>
                </c:pt>
                <c:pt idx="58">
                  <c:v>8709.3940000000002</c:v>
                </c:pt>
                <c:pt idx="59">
                  <c:v>2293.4659999999999</c:v>
                </c:pt>
                <c:pt idx="60">
                  <c:v>3702.0889999999999</c:v>
                </c:pt>
                <c:pt idx="61">
                  <c:v>220.14699999999999</c:v>
                </c:pt>
                <c:pt idx="62">
                  <c:v>1022.266</c:v>
                </c:pt>
                <c:pt idx="63">
                  <c:v>0.38800000000000001</c:v>
                </c:pt>
                <c:pt idx="64">
                  <c:v>302.79199999999997</c:v>
                </c:pt>
                <c:pt idx="65">
                  <c:v>14113.865</c:v>
                </c:pt>
                <c:pt idx="66">
                  <c:v>3535.6529999999998</c:v>
                </c:pt>
                <c:pt idx="67">
                  <c:v>1.7999999999999999E-2</c:v>
                </c:pt>
                <c:pt idx="68">
                  <c:v>4756.0469999999996</c:v>
                </c:pt>
                <c:pt idx="69">
                  <c:v>3235.9119999999998</c:v>
                </c:pt>
                <c:pt idx="70">
                  <c:v>20.37</c:v>
                </c:pt>
                <c:pt idx="71">
                  <c:v>17555.812000000002</c:v>
                </c:pt>
                <c:pt idx="72">
                  <c:v>1318.251</c:v>
                </c:pt>
                <c:pt idx="73">
                  <c:v>32315.555</c:v>
                </c:pt>
                <c:pt idx="74">
                  <c:v>0.35599999999999998</c:v>
                </c:pt>
                <c:pt idx="75">
                  <c:v>625.25900000000001</c:v>
                </c:pt>
                <c:pt idx="76">
                  <c:v>445.92099999999999</c:v>
                </c:pt>
                <c:pt idx="77">
                  <c:v>2166.9389999999999</c:v>
                </c:pt>
                <c:pt idx="78">
                  <c:v>1686.6849999999999</c:v>
                </c:pt>
                <c:pt idx="79">
                  <c:v>9429.4570000000003</c:v>
                </c:pt>
                <c:pt idx="80">
                  <c:v>13749.691999999999</c:v>
                </c:pt>
                <c:pt idx="81">
                  <c:v>18572.004000000001</c:v>
                </c:pt>
                <c:pt idx="82">
                  <c:v>100012.476</c:v>
                </c:pt>
                <c:pt idx="83">
                  <c:v>627.77499999999998</c:v>
                </c:pt>
                <c:pt idx="84">
                  <c:v>19467.077000000001</c:v>
                </c:pt>
                <c:pt idx="85">
                  <c:v>863.48199999999997</c:v>
                </c:pt>
                <c:pt idx="86">
                  <c:v>975.74400000000003</c:v>
                </c:pt>
                <c:pt idx="87">
                  <c:v>1.2E-2</c:v>
                </c:pt>
                <c:pt idx="88">
                  <c:v>829.18100000000004</c:v>
                </c:pt>
                <c:pt idx="89">
                  <c:v>5377.835</c:v>
                </c:pt>
                <c:pt idx="90">
                  <c:v>2504.1010000000001</c:v>
                </c:pt>
                <c:pt idx="91">
                  <c:v>51856.182999999997</c:v>
                </c:pt>
                <c:pt idx="92">
                  <c:v>7189.9539999999997</c:v>
                </c:pt>
                <c:pt idx="93">
                  <c:v>865.61300000000006</c:v>
                </c:pt>
                <c:pt idx="94">
                  <c:v>3.9E-2</c:v>
                </c:pt>
                <c:pt idx="95">
                  <c:v>326.78699999999998</c:v>
                </c:pt>
                <c:pt idx="96">
                  <c:v>82.039000000000001</c:v>
                </c:pt>
                <c:pt idx="97">
                  <c:v>59604.535000000003</c:v>
                </c:pt>
                <c:pt idx="98">
                  <c:v>1489.8240000000001</c:v>
                </c:pt>
                <c:pt idx="99">
                  <c:v>7.0000000000000001E-3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7-446B-9DDD-B383D3DFBC6A}"/>
            </c:ext>
          </c:extLst>
        </c:ser>
        <c:ser>
          <c:idx val="0"/>
          <c:order val="1"/>
          <c:tx>
            <c:strRef>
              <c:f>areas_usgs!$E$1</c:f>
              <c:strCache>
                <c:ptCount val="1"/>
                <c:pt idx="0">
                  <c:v>delineator.py watersheds</c:v>
                </c:pt>
              </c:strCache>
            </c:strRef>
          </c:tx>
          <c:spPr>
            <a:ln w="25400" cap="rnd">
              <a:noFill/>
              <a:prstDash val="solid"/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accent2">
                    <a:alpha val="80000"/>
                  </a:schemeClr>
                </a:solidFill>
                <a:prstDash val="solid"/>
              </a:ln>
              <a:effectLst/>
            </c:spPr>
          </c:marker>
          <c:xVal>
            <c:numRef>
              <c:f>areas_usgs!$C$2:$C$101</c:f>
              <c:numCache>
                <c:formatCode>_(* #,##0.0_);_(* \(#,##0.0\);_(* "-"??_);_(@_)</c:formatCode>
                <c:ptCount val="100"/>
                <c:pt idx="0">
                  <c:v>2318.0469515762902</c:v>
                </c:pt>
                <c:pt idx="1">
                  <c:v>7987.3832622111304</c:v>
                </c:pt>
                <c:pt idx="2">
                  <c:v>441.138514383298</c:v>
                </c:pt>
                <c:pt idx="3">
                  <c:v>20373.543272057101</c:v>
                </c:pt>
                <c:pt idx="4">
                  <c:v>94.200207429473707</c:v>
                </c:pt>
                <c:pt idx="5">
                  <c:v>4304.6375818730503</c:v>
                </c:pt>
                <c:pt idx="6">
                  <c:v>2022.5242100927401</c:v>
                </c:pt>
                <c:pt idx="7">
                  <c:v>746.49493080252296</c:v>
                </c:pt>
                <c:pt idx="8">
                  <c:v>71.124095427162104</c:v>
                </c:pt>
                <c:pt idx="9">
                  <c:v>232.44566245857499</c:v>
                </c:pt>
                <c:pt idx="10">
                  <c:v>127.36828179480599</c:v>
                </c:pt>
                <c:pt idx="11">
                  <c:v>1988.13739011383</c:v>
                </c:pt>
                <c:pt idx="12">
                  <c:v>426.62628468317001</c:v>
                </c:pt>
                <c:pt idx="13">
                  <c:v>8681.3828895657698</c:v>
                </c:pt>
                <c:pt idx="14">
                  <c:v>673.34772051253299</c:v>
                </c:pt>
                <c:pt idx="15">
                  <c:v>2913.1803471779799</c:v>
                </c:pt>
                <c:pt idx="16">
                  <c:v>22833.0729099698</c:v>
                </c:pt>
                <c:pt idx="17">
                  <c:v>2931.5218708840798</c:v>
                </c:pt>
                <c:pt idx="18">
                  <c:v>3238.71996751597</c:v>
                </c:pt>
                <c:pt idx="19">
                  <c:v>182.19197182523001</c:v>
                </c:pt>
                <c:pt idx="20">
                  <c:v>8245.2113930779196</c:v>
                </c:pt>
                <c:pt idx="21">
                  <c:v>456.694898514736</c:v>
                </c:pt>
                <c:pt idx="22">
                  <c:v>486.467487964508</c:v>
                </c:pt>
                <c:pt idx="23">
                  <c:v>11548.4828674209</c:v>
                </c:pt>
                <c:pt idx="24">
                  <c:v>50495.008506990001</c:v>
                </c:pt>
                <c:pt idx="25">
                  <c:v>369.77525948523999</c:v>
                </c:pt>
                <c:pt idx="26">
                  <c:v>3926.57978169542</c:v>
                </c:pt>
                <c:pt idx="27">
                  <c:v>7169.0664647302101</c:v>
                </c:pt>
                <c:pt idx="28">
                  <c:v>346.23904531303799</c:v>
                </c:pt>
                <c:pt idx="29">
                  <c:v>746.95091073966898</c:v>
                </c:pt>
                <c:pt idx="30">
                  <c:v>1610.4261176076</c:v>
                </c:pt>
                <c:pt idx="31">
                  <c:v>2059.7503503635398</c:v>
                </c:pt>
                <c:pt idx="32">
                  <c:v>2474.1694040828902</c:v>
                </c:pt>
                <c:pt idx="33">
                  <c:v>554.67548446107799</c:v>
                </c:pt>
                <c:pt idx="34">
                  <c:v>237.80825542473301</c:v>
                </c:pt>
                <c:pt idx="35">
                  <c:v>901.01290024507</c:v>
                </c:pt>
                <c:pt idx="36">
                  <c:v>4891.2168164833402</c:v>
                </c:pt>
                <c:pt idx="37">
                  <c:v>1539.63654619268</c:v>
                </c:pt>
                <c:pt idx="38">
                  <c:v>840.07013969780701</c:v>
                </c:pt>
                <c:pt idx="39">
                  <c:v>5130.5680294297999</c:v>
                </c:pt>
                <c:pt idx="40">
                  <c:v>3685.7316744702898</c:v>
                </c:pt>
                <c:pt idx="41">
                  <c:v>28452.150727303298</c:v>
                </c:pt>
                <c:pt idx="42">
                  <c:v>3415.9803727854101</c:v>
                </c:pt>
                <c:pt idx="43">
                  <c:v>1373.5925041770299</c:v>
                </c:pt>
                <c:pt idx="44">
                  <c:v>572.82969698731097</c:v>
                </c:pt>
                <c:pt idx="45">
                  <c:v>910.89739476151203</c:v>
                </c:pt>
                <c:pt idx="46">
                  <c:v>3368.9477012265302</c:v>
                </c:pt>
                <c:pt idx="47">
                  <c:v>2187.1981182543</c:v>
                </c:pt>
                <c:pt idx="48">
                  <c:v>1031.6262794602701</c:v>
                </c:pt>
                <c:pt idx="49">
                  <c:v>1369.03057216819</c:v>
                </c:pt>
                <c:pt idx="50">
                  <c:v>62.119202966032098</c:v>
                </c:pt>
                <c:pt idx="51">
                  <c:v>126.09763881560301</c:v>
                </c:pt>
                <c:pt idx="52">
                  <c:v>2885.6995773697899</c:v>
                </c:pt>
                <c:pt idx="53">
                  <c:v>927.67845472319402</c:v>
                </c:pt>
                <c:pt idx="54">
                  <c:v>59.192570965161998</c:v>
                </c:pt>
                <c:pt idx="55">
                  <c:v>16073.739956002401</c:v>
                </c:pt>
                <c:pt idx="56">
                  <c:v>13787.8727639679</c:v>
                </c:pt>
                <c:pt idx="57">
                  <c:v>43599.051204700001</c:v>
                </c:pt>
                <c:pt idx="58">
                  <c:v>7599.4857834327604</c:v>
                </c:pt>
                <c:pt idx="59">
                  <c:v>2297.9099564878202</c:v>
                </c:pt>
                <c:pt idx="60">
                  <c:v>3686.16716976204</c:v>
                </c:pt>
                <c:pt idx="61">
                  <c:v>225.233377099987</c:v>
                </c:pt>
                <c:pt idx="62">
                  <c:v>1027.1574502050901</c:v>
                </c:pt>
                <c:pt idx="63">
                  <c:v>58160.603018481997</c:v>
                </c:pt>
                <c:pt idx="64">
                  <c:v>306.13703930886902</c:v>
                </c:pt>
                <c:pt idx="65">
                  <c:v>14096.116608721601</c:v>
                </c:pt>
                <c:pt idx="66">
                  <c:v>3535.4127030458499</c:v>
                </c:pt>
                <c:pt idx="67">
                  <c:v>1249847.5746633499</c:v>
                </c:pt>
                <c:pt idx="68">
                  <c:v>4760.34728235885</c:v>
                </c:pt>
                <c:pt idx="69">
                  <c:v>3245.2444206629598</c:v>
                </c:pt>
                <c:pt idx="70">
                  <c:v>1111.20549871859</c:v>
                </c:pt>
                <c:pt idx="71">
                  <c:v>16474.2680639426</c:v>
                </c:pt>
                <c:pt idx="72">
                  <c:v>1318.38368705516</c:v>
                </c:pt>
                <c:pt idx="73">
                  <c:v>32302.875286681399</c:v>
                </c:pt>
                <c:pt idx="74">
                  <c:v>37418.505558058299</c:v>
                </c:pt>
                <c:pt idx="75">
                  <c:v>627.44083885285602</c:v>
                </c:pt>
                <c:pt idx="76">
                  <c:v>445.29239349718603</c:v>
                </c:pt>
                <c:pt idx="77">
                  <c:v>1978.8571862112101</c:v>
                </c:pt>
                <c:pt idx="78">
                  <c:v>1691.13425740517</c:v>
                </c:pt>
                <c:pt idx="79">
                  <c:v>9454.5903513894391</c:v>
                </c:pt>
                <c:pt idx="80">
                  <c:v>13760.512279521899</c:v>
                </c:pt>
                <c:pt idx="81">
                  <c:v>18572.4069781697</c:v>
                </c:pt>
                <c:pt idx="82">
                  <c:v>99970.682261168506</c:v>
                </c:pt>
                <c:pt idx="83">
                  <c:v>629.27634547646403</c:v>
                </c:pt>
                <c:pt idx="84">
                  <c:v>19492.750986273801</c:v>
                </c:pt>
                <c:pt idx="85">
                  <c:v>870.15388184571805</c:v>
                </c:pt>
                <c:pt idx="86">
                  <c:v>989.98472829126194</c:v>
                </c:pt>
                <c:pt idx="87">
                  <c:v>924.20696344619</c:v>
                </c:pt>
                <c:pt idx="88">
                  <c:v>831.19296781604999</c:v>
                </c:pt>
                <c:pt idx="89">
                  <c:v>5378.1283199917398</c:v>
                </c:pt>
                <c:pt idx="90">
                  <c:v>2509.1564051201299</c:v>
                </c:pt>
                <c:pt idx="91">
                  <c:v>49579.891464503802</c:v>
                </c:pt>
                <c:pt idx="92">
                  <c:v>7191.5889600389901</c:v>
                </c:pt>
                <c:pt idx="93">
                  <c:v>829.97796641268803</c:v>
                </c:pt>
                <c:pt idx="94">
                  <c:v>384.77301484190502</c:v>
                </c:pt>
                <c:pt idx="95">
                  <c:v>335.04731578508301</c:v>
                </c:pt>
                <c:pt idx="96">
                  <c:v>88.190147893682607</c:v>
                </c:pt>
                <c:pt idx="97">
                  <c:v>59266.508714017502</c:v>
                </c:pt>
                <c:pt idx="98">
                  <c:v>1516.94369685058</c:v>
                </c:pt>
                <c:pt idx="99">
                  <c:v>127675.747082332</c:v>
                </c:pt>
              </c:numCache>
            </c:numRef>
          </c:xVal>
          <c:yVal>
            <c:numRef>
              <c:f>areas_usgs!$E$2:$E$101</c:f>
              <c:numCache>
                <c:formatCode>_(* #,##0.0_);_(* \(#,##0.0\);_(* "-"??_);_(@_)</c:formatCode>
                <c:ptCount val="100"/>
                <c:pt idx="0">
                  <c:v>2311.9395840319899</c:v>
                </c:pt>
                <c:pt idx="1">
                  <c:v>7921.9230955747298</c:v>
                </c:pt>
                <c:pt idx="2">
                  <c:v>445.93116691288998</c:v>
                </c:pt>
                <c:pt idx="3">
                  <c:v>20438.921215995801</c:v>
                </c:pt>
                <c:pt idx="4">
                  <c:v>87.759228488774895</c:v>
                </c:pt>
                <c:pt idx="5">
                  <c:v>4288.10485199093</c:v>
                </c:pt>
                <c:pt idx="6">
                  <c:v>1953.3165814568099</c:v>
                </c:pt>
                <c:pt idx="7">
                  <c:v>753.82353499176395</c:v>
                </c:pt>
                <c:pt idx="8">
                  <c:v>70.682285812646796</c:v>
                </c:pt>
                <c:pt idx="9">
                  <c:v>233.33640418029</c:v>
                </c:pt>
                <c:pt idx="10">
                  <c:v>99.651174724879894</c:v>
                </c:pt>
                <c:pt idx="11">
                  <c:v>2007.33098656416</c:v>
                </c:pt>
                <c:pt idx="12">
                  <c:v>421.52686105924403</c:v>
                </c:pt>
                <c:pt idx="13">
                  <c:v>8682.9500443475699</c:v>
                </c:pt>
                <c:pt idx="14">
                  <c:v>672.70573461236597</c:v>
                </c:pt>
                <c:pt idx="15">
                  <c:v>2908.0215261743001</c:v>
                </c:pt>
                <c:pt idx="16">
                  <c:v>22836.3986028252</c:v>
                </c:pt>
                <c:pt idx="17">
                  <c:v>2920.2545250226099</c:v>
                </c:pt>
                <c:pt idx="18">
                  <c:v>3068.0904690737898</c:v>
                </c:pt>
                <c:pt idx="19">
                  <c:v>162.09523399587999</c:v>
                </c:pt>
                <c:pt idx="20">
                  <c:v>8278.7865339382606</c:v>
                </c:pt>
                <c:pt idx="21">
                  <c:v>434.60146747117398</c:v>
                </c:pt>
                <c:pt idx="22">
                  <c:v>488.67569473545399</c:v>
                </c:pt>
                <c:pt idx="23">
                  <c:v>11543.9311533976</c:v>
                </c:pt>
                <c:pt idx="24">
                  <c:v>50446.465622631003</c:v>
                </c:pt>
                <c:pt idx="25">
                  <c:v>238.932197147685</c:v>
                </c:pt>
                <c:pt idx="26">
                  <c:v>3925.54064499692</c:v>
                </c:pt>
                <c:pt idx="27">
                  <c:v>7175.2281289973798</c:v>
                </c:pt>
                <c:pt idx="28">
                  <c:v>344.91564639466799</c:v>
                </c:pt>
                <c:pt idx="29">
                  <c:v>740.61538491029603</c:v>
                </c:pt>
                <c:pt idx="30">
                  <c:v>1606.1897244941499</c:v>
                </c:pt>
                <c:pt idx="31">
                  <c:v>2014.23114424194</c:v>
                </c:pt>
                <c:pt idx="32">
                  <c:v>2470.0011043716399</c:v>
                </c:pt>
                <c:pt idx="33">
                  <c:v>554.53357925390503</c:v>
                </c:pt>
                <c:pt idx="34">
                  <c:v>236.164192759879</c:v>
                </c:pt>
                <c:pt idx="35">
                  <c:v>902.17497714907097</c:v>
                </c:pt>
                <c:pt idx="36">
                  <c:v>4837.3753342086402</c:v>
                </c:pt>
                <c:pt idx="37">
                  <c:v>1560.9910162629701</c:v>
                </c:pt>
                <c:pt idx="38">
                  <c:v>832.88669690317897</c:v>
                </c:pt>
                <c:pt idx="39">
                  <c:v>5491.93307063662</c:v>
                </c:pt>
                <c:pt idx="40">
                  <c:v>3866.5927681109501</c:v>
                </c:pt>
                <c:pt idx="41">
                  <c:v>30593.558542212799</c:v>
                </c:pt>
                <c:pt idx="42">
                  <c:v>3148.2241512560099</c:v>
                </c:pt>
                <c:pt idx="43">
                  <c:v>1293.15421699645</c:v>
                </c:pt>
                <c:pt idx="44">
                  <c:v>572.27888189040505</c:v>
                </c:pt>
                <c:pt idx="45">
                  <c:v>896.21706857163394</c:v>
                </c:pt>
                <c:pt idx="46">
                  <c:v>3594.8827051585499</c:v>
                </c:pt>
                <c:pt idx="47">
                  <c:v>2186.0799439643602</c:v>
                </c:pt>
                <c:pt idx="48">
                  <c:v>1029.1415585494899</c:v>
                </c:pt>
                <c:pt idx="49">
                  <c:v>1532.26711365799</c:v>
                </c:pt>
                <c:pt idx="50">
                  <c:v>52.156263785078899</c:v>
                </c:pt>
                <c:pt idx="51">
                  <c:v>125.160382532095</c:v>
                </c:pt>
                <c:pt idx="52">
                  <c:v>2891.8578568510202</c:v>
                </c:pt>
                <c:pt idx="53">
                  <c:v>1069.10302677543</c:v>
                </c:pt>
                <c:pt idx="54">
                  <c:v>58.760190311183997</c:v>
                </c:pt>
                <c:pt idx="55">
                  <c:v>16045.3608464517</c:v>
                </c:pt>
                <c:pt idx="56">
                  <c:v>13787.435439635599</c:v>
                </c:pt>
                <c:pt idx="57">
                  <c:v>50380.626938827598</c:v>
                </c:pt>
                <c:pt idx="58">
                  <c:v>9678.6358995541796</c:v>
                </c:pt>
                <c:pt idx="59">
                  <c:v>2293.2097651139902</c:v>
                </c:pt>
                <c:pt idx="60">
                  <c:v>3702.2865902682001</c:v>
                </c:pt>
                <c:pt idx="61">
                  <c:v>220.339135801878</c:v>
                </c:pt>
                <c:pt idx="62">
                  <c:v>1021.2558257212399</c:v>
                </c:pt>
                <c:pt idx="63">
                  <c:v>63596.005750144999</c:v>
                </c:pt>
                <c:pt idx="64">
                  <c:v>335.87607539127998</c:v>
                </c:pt>
                <c:pt idx="65">
                  <c:v>14102.164748793901</c:v>
                </c:pt>
                <c:pt idx="66">
                  <c:v>3535.3203298766798</c:v>
                </c:pt>
                <c:pt idx="67">
                  <c:v>1279916.4500333299</c:v>
                </c:pt>
                <c:pt idx="68">
                  <c:v>4855.2975338101696</c:v>
                </c:pt>
                <c:pt idx="69">
                  <c:v>3227.9060419320899</c:v>
                </c:pt>
                <c:pt idx="70">
                  <c:v>1139.33071216645</c:v>
                </c:pt>
                <c:pt idx="71">
                  <c:v>17403.403084639802</c:v>
                </c:pt>
                <c:pt idx="72">
                  <c:v>1319.64376036825</c:v>
                </c:pt>
                <c:pt idx="73">
                  <c:v>32938.580401989799</c:v>
                </c:pt>
                <c:pt idx="74">
                  <c:v>38203.809628956602</c:v>
                </c:pt>
                <c:pt idx="75">
                  <c:v>651.73071464418501</c:v>
                </c:pt>
                <c:pt idx="76">
                  <c:v>864.41100316707298</c:v>
                </c:pt>
                <c:pt idx="77">
                  <c:v>2118.3099475403101</c:v>
                </c:pt>
                <c:pt idx="78">
                  <c:v>1686.69949007985</c:v>
                </c:pt>
                <c:pt idx="79">
                  <c:v>9426.7855531035402</c:v>
                </c:pt>
                <c:pt idx="80">
                  <c:v>13750.832017987799</c:v>
                </c:pt>
                <c:pt idx="81">
                  <c:v>18562.454958512099</c:v>
                </c:pt>
                <c:pt idx="82">
                  <c:v>102672.15608878899</c:v>
                </c:pt>
                <c:pt idx="83">
                  <c:v>624.36166158344997</c:v>
                </c:pt>
                <c:pt idx="84">
                  <c:v>19410.274978354901</c:v>
                </c:pt>
                <c:pt idx="85">
                  <c:v>860.668389368455</c:v>
                </c:pt>
                <c:pt idx="86">
                  <c:v>976.61149676325101</c:v>
                </c:pt>
                <c:pt idx="87">
                  <c:v>929.12913121559598</c:v>
                </c:pt>
                <c:pt idx="88">
                  <c:v>826.96045548015798</c:v>
                </c:pt>
                <c:pt idx="89">
                  <c:v>5566.1908223758101</c:v>
                </c:pt>
                <c:pt idx="90">
                  <c:v>2489.5442863010599</c:v>
                </c:pt>
                <c:pt idx="91">
                  <c:v>57830.885681966101</c:v>
                </c:pt>
                <c:pt idx="92">
                  <c:v>7223.5903876232896</c:v>
                </c:pt>
                <c:pt idx="93">
                  <c:v>850.93452633536197</c:v>
                </c:pt>
                <c:pt idx="94">
                  <c:v>382.95562072392102</c:v>
                </c:pt>
                <c:pt idx="95">
                  <c:v>329.01272202194599</c:v>
                </c:pt>
                <c:pt idx="96">
                  <c:v>81.798676980232898</c:v>
                </c:pt>
                <c:pt idx="97">
                  <c:v>59809.200355632202</c:v>
                </c:pt>
                <c:pt idx="98">
                  <c:v>1518.46045793909</c:v>
                </c:pt>
                <c:pt idx="99">
                  <c:v>129082.331217739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59-4B2D-8F0A-88BCC383F1CB}"/>
            </c:ext>
          </c:extLst>
        </c:ser>
        <c:ser>
          <c:idx val="1"/>
          <c:order val="2"/>
          <c:tx>
            <c:v>1:1 line</c:v>
          </c:tx>
          <c:spPr>
            <a:ln w="1270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areas_usgs!$T$7:$T$8</c:f>
              <c:numCache>
                <c:formatCode>_(* #,##0.0_);_(* \(#,##0.0\);_(* "-"??_);_(@_)</c:formatCode>
                <c:ptCount val="2"/>
                <c:pt idx="0">
                  <c:v>10</c:v>
                </c:pt>
                <c:pt idx="1">
                  <c:v>1000000</c:v>
                </c:pt>
              </c:numCache>
            </c:numRef>
          </c:xVal>
          <c:yVal>
            <c:numRef>
              <c:f>areas_usgs!$U$7:$U$8</c:f>
              <c:numCache>
                <c:formatCode>0.00E+00</c:formatCode>
                <c:ptCount val="2"/>
                <c:pt idx="0">
                  <c:v>10</c:v>
                </c:pt>
                <c:pt idx="1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59-4B2D-8F0A-88BCC383F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57088"/>
        <c:axId val="110260224"/>
      </c:scatterChart>
      <c:valAx>
        <c:axId val="132557088"/>
        <c:scaling>
          <c:logBase val="10"/>
          <c:orientation val="minMax"/>
          <c:max val="1000000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True watershed area (USGS), km²</a:t>
                </a:r>
              </a:p>
            </c:rich>
          </c:tx>
          <c:layout>
            <c:manualLayout>
              <c:xMode val="edge"/>
              <c:yMode val="edge"/>
              <c:x val="0.39896627123659317"/>
              <c:y val="0.92013384246700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260224"/>
        <c:crossesAt val="1.0000000000000002E-3"/>
        <c:crossBetween val="midCat"/>
      </c:valAx>
      <c:valAx>
        <c:axId val="110260224"/>
        <c:scaling>
          <c:logBase val="10"/>
          <c:orientation val="minMax"/>
          <c:max val="100000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algn="ctr"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fr-FR"/>
                  <a:t>Delineated</a:t>
                </a:r>
                <a:br>
                  <a:rPr lang="fr-FR"/>
                </a:br>
                <a:r>
                  <a:rPr lang="fr-FR"/>
                  <a:t>watershed</a:t>
                </a:r>
              </a:p>
              <a:p>
                <a:pPr algn="ctr">
                  <a:defRPr/>
                </a:pPr>
                <a:r>
                  <a:rPr lang="fr-FR"/>
                  <a:t>area, km²</a:t>
                </a:r>
              </a:p>
            </c:rich>
          </c:tx>
          <c:layout>
            <c:manualLayout>
              <c:xMode val="edge"/>
              <c:yMode val="edge"/>
              <c:x val="3.8120573508106506E-2"/>
              <c:y val="0.434613579666434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algn="ctr"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&gt;=1]#,##0;0.########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2557088"/>
        <c:crosses val="autoZero"/>
        <c:crossBetween val="midCat"/>
      </c:valAx>
      <c:spPr>
        <a:noFill/>
        <a:ln w="952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9042666347204527"/>
          <c:y val="4.3865579880013092E-2"/>
          <c:w val="0.35831490980639863"/>
          <c:h val="0.13641216666955794"/>
        </c:manualLayout>
      </c:layout>
      <c:overlay val="0"/>
      <c:spPr>
        <a:noFill/>
        <a:ln>
          <a:solidFill>
            <a:schemeClr val="bg2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</xdr:row>
      <xdr:rowOff>112395</xdr:rowOff>
    </xdr:from>
    <xdr:to>
      <xdr:col>11</xdr:col>
      <xdr:colOff>323850</xdr:colOff>
      <xdr:row>17</xdr:row>
      <xdr:rowOff>158115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BBC93F-C0A3-967D-EAF7-776F827E4B96}"/>
            </a:ext>
          </a:extLst>
        </xdr:cNvPr>
        <xdr:cNvSpPr txBox="1"/>
      </xdr:nvSpPr>
      <xdr:spPr>
        <a:xfrm>
          <a:off x="1971675" y="295275"/>
          <a:ext cx="5057775" cy="2971800"/>
        </a:xfrm>
        <a:prstGeom prst="rect">
          <a:avLst/>
        </a:prstGeom>
        <a:solidFill>
          <a:schemeClr val="lt1"/>
        </a:solidFill>
        <a:ln w="38100" cap="flat" cmpd="dbl" algn="ctr">
          <a:solidFill>
            <a:schemeClr val="lt1">
              <a:shade val="50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228600" tIns="228600" rIns="228600" bIns="228600" rtlCol="0" anchor="t"/>
        <a:lstStyle/>
        <a:p>
          <a:r>
            <a:rPr lang="fr-FR" sz="1100"/>
            <a:t>About this workbook
Matthew G. Heberger
2025-02-13</a:t>
          </a:r>
        </a:p>
        <a:p>
          <a:endParaRPr lang="fr-FR" sz="1100"/>
        </a:p>
        <a:p>
          <a:r>
            <a:rPr lang="fr-FR" sz="1100"/>
            <a:t>Results</a:t>
          </a:r>
          <a:r>
            <a:rPr lang="fr-FR" sz="1100" baseline="0"/>
            <a:t> of the validation experiment, where I compared the delineated watersheds from ESRI and delineator to the "official" USGS watersheds at 120 gages.</a:t>
          </a:r>
        </a:p>
        <a:p>
          <a:endParaRPr lang="fr-FR" sz="1100" baseline="0"/>
        </a:p>
        <a:p>
          <a:r>
            <a:rPr lang="fr-FR" sz="1100" baseline="0"/>
            <a:t>I later decided that simply comparing the area was not the best, and that it's better to use a metric called the CAC or Jaccard Index.</a:t>
          </a:r>
          <a:r>
            <a:rPr lang="fr-FR" sz="1100"/>
            <a:t>
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34290</xdr:colOff>
      <xdr:row>1</xdr:row>
      <xdr:rowOff>9524</xdr:rowOff>
    </xdr:from>
    <xdr:to>
      <xdr:col>24</xdr:col>
      <xdr:colOff>561975</xdr:colOff>
      <xdr:row>24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4D6A1C-D2CC-401B-961A-CE64E9A59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omputing/MattsToolbox.xlam" TargetMode="External"/><Relationship Id="rId2" Type="http://schemas.openxmlformats.org/officeDocument/2006/relationships/externalLinkPath" Target="file:///C:\Users\mheberger\Dropbox\Computing\MattsToolbox.xlam" TargetMode="External"/><Relationship Id="rId1" Type="http://schemas.openxmlformats.org/officeDocument/2006/relationships/externalLinkPath" Target="/Users/mheberger/Dropbox/Computing/MattsToolbox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rem"/>
    </sheetNames>
    <definedNames>
      <definedName name="Perc_Diff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9DC3-C956-4688-826A-9912DC53A8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1"/>
  <sheetViews>
    <sheetView topLeftCell="B1" workbookViewId="0">
      <selection activeCell="F7" sqref="F7"/>
    </sheetView>
  </sheetViews>
  <sheetFormatPr defaultRowHeight="14.4" x14ac:dyDescent="0.3"/>
  <cols>
    <col min="2" max="2" width="14.44140625" bestFit="1" customWidth="1"/>
    <col min="3" max="3" width="13.6640625" bestFit="1" customWidth="1"/>
    <col min="4" max="5" width="12.5546875" bestFit="1" customWidth="1"/>
    <col min="6" max="6" width="14.6640625" bestFit="1" customWidth="1"/>
    <col min="9" max="9" width="11.5546875" bestFit="1" customWidth="1"/>
  </cols>
  <sheetData>
    <row r="1" spans="1:21" x14ac:dyDescent="0.3">
      <c r="A1" t="s">
        <v>1</v>
      </c>
      <c r="B1" t="s">
        <v>0</v>
      </c>
      <c r="C1" t="s">
        <v>2</v>
      </c>
      <c r="D1" t="s">
        <v>122</v>
      </c>
      <c r="E1" t="s">
        <v>123</v>
      </c>
      <c r="F1" t="s">
        <v>103</v>
      </c>
      <c r="G1" t="s">
        <v>104</v>
      </c>
      <c r="H1" t="s">
        <v>105</v>
      </c>
      <c r="I1" t="s">
        <v>106</v>
      </c>
    </row>
    <row r="2" spans="1:21" x14ac:dyDescent="0.3">
      <c r="A2">
        <v>1</v>
      </c>
      <c r="B2" s="1" t="s">
        <v>3</v>
      </c>
      <c r="C2" s="2">
        <v>2318.0469515762902</v>
      </c>
      <c r="D2" s="2">
        <v>2318.201</v>
      </c>
      <c r="E2" s="2">
        <v>2311.9395840319899</v>
      </c>
      <c r="F2" s="4" cm="1">
        <f t="array" ref="F2">[1]!Perc_Diff(D2,C2)</f>
        <v>6.6451711352816202E-5</v>
      </c>
      <c r="G2" s="4" cm="1">
        <f t="array" ref="G2">[1]!Perc_Diff(E2,C2)</f>
        <v>-2.6416639891814115E-3</v>
      </c>
      <c r="H2" s="5">
        <v>0.99377869609935154</v>
      </c>
      <c r="I2" s="6">
        <v>0.997094828839033</v>
      </c>
      <c r="K2" t="s">
        <v>107</v>
      </c>
      <c r="L2">
        <f>COUNT(areas_usgs!$H$2:$H$101)</f>
        <v>100</v>
      </c>
      <c r="M2">
        <f>COUNT(areas_usgs!$I$2:$I$101)</f>
        <v>100</v>
      </c>
    </row>
    <row r="3" spans="1:21" x14ac:dyDescent="0.3">
      <c r="A3">
        <v>2</v>
      </c>
      <c r="B3" s="1" t="s">
        <v>4</v>
      </c>
      <c r="C3" s="2">
        <v>7987.3832622111304</v>
      </c>
      <c r="D3" s="2">
        <v>2.3E-2</v>
      </c>
      <c r="E3" s="2">
        <v>7921.9230955747298</v>
      </c>
      <c r="F3" s="4" cm="1">
        <f t="array" ref="F3">[1]!Perc_Diff(D3,C3)</f>
        <v>-347276.53313961439</v>
      </c>
      <c r="G3" s="4" cm="1">
        <f t="array" ref="G3">[1]!Perc_Diff(E3,C3)</f>
        <v>-8.2631661336080523E-3</v>
      </c>
      <c r="H3" s="5">
        <v>0.91799721218905794</v>
      </c>
      <c r="I3" s="6">
        <v>0.93668103762997978</v>
      </c>
      <c r="K3" t="s">
        <v>108</v>
      </c>
      <c r="L3" s="6">
        <f>MEDIAN(areas_usgs!$H$2:$H$101)</f>
        <v>0.97984334895870207</v>
      </c>
      <c r="M3" s="6">
        <f>MEDIAN(areas_usgs!$I$2:$I$101)</f>
        <v>0.99025633640026833</v>
      </c>
    </row>
    <row r="4" spans="1:21" x14ac:dyDescent="0.3">
      <c r="A4">
        <v>3</v>
      </c>
      <c r="B4" s="1" t="s">
        <v>5</v>
      </c>
      <c r="C4" s="2">
        <v>441.138514383298</v>
      </c>
      <c r="D4" s="2">
        <v>440.33600000000001</v>
      </c>
      <c r="E4" s="2">
        <v>445.93116691288998</v>
      </c>
      <c r="F4" s="4" cm="1">
        <f t="array" ref="F4">[1]!Perc_Diff(D4,C4)</f>
        <v>-1.8225045948956917E-3</v>
      </c>
      <c r="G4" s="4" cm="1">
        <f t="array" ref="G4">[1]!Perc_Diff(E4,C4)</f>
        <v>1.0747516399830811E-2</v>
      </c>
      <c r="H4" s="5">
        <v>0.97959381563788117</v>
      </c>
      <c r="I4" s="6">
        <v>0.98831502806464699</v>
      </c>
      <c r="K4" t="s">
        <v>109</v>
      </c>
      <c r="L4" s="6">
        <f>AVERAGE(areas_usgs!$H$2:$H$101)</f>
        <v>0.92758769872560876</v>
      </c>
      <c r="M4" s="6">
        <f>AVERAGE(areas_usgs!$I$2:$I$101)</f>
        <v>0.83495675791792512</v>
      </c>
    </row>
    <row r="5" spans="1:21" x14ac:dyDescent="0.3">
      <c r="A5">
        <v>4</v>
      </c>
      <c r="B5" s="1" t="s">
        <v>6</v>
      </c>
      <c r="C5" s="2">
        <v>20373.543272057101</v>
      </c>
      <c r="D5" s="2">
        <v>20353.546999999999</v>
      </c>
      <c r="E5" s="2">
        <v>20438.921215995801</v>
      </c>
      <c r="F5" s="4" cm="1">
        <f t="array" ref="F5">[1]!Perc_Diff(D5,C5)</f>
        <v>-9.8244655131127928E-4</v>
      </c>
      <c r="G5" s="4" cm="1">
        <f t="array" ref="G5">[1]!Perc_Diff(E5,C5)</f>
        <v>3.19869836806916E-3</v>
      </c>
      <c r="H5" s="5">
        <v>0.99787229247197518</v>
      </c>
      <c r="I5" s="6">
        <v>2.5028408263282964E-5</v>
      </c>
      <c r="K5" t="s">
        <v>110</v>
      </c>
      <c r="L5" s="6">
        <f>STDEV(areas_usgs!$H$2:$H$101)</f>
        <v>0.15378536619503944</v>
      </c>
      <c r="M5">
        <f>STDEV(areas_usgs!$I$2:$I$101)</f>
        <v>0.34539252991111186</v>
      </c>
    </row>
    <row r="6" spans="1:21" x14ac:dyDescent="0.3">
      <c r="A6">
        <v>5</v>
      </c>
      <c r="B6" s="1" t="s">
        <v>7</v>
      </c>
      <c r="C6" s="2">
        <v>94.200207429473707</v>
      </c>
      <c r="D6" s="2">
        <v>89.896000000000001</v>
      </c>
      <c r="E6" s="2">
        <v>87.759228488774895</v>
      </c>
      <c r="F6" s="4" cm="1">
        <f t="array" ref="F6">[1]!Perc_Diff(D6,C6)</f>
        <v>-4.7879854826396125E-2</v>
      </c>
      <c r="G6" s="4" cm="1">
        <f t="array" ref="G6">[1]!Perc_Diff(E6,C6)</f>
        <v>-7.3393750738392882E-2</v>
      </c>
      <c r="H6" s="5">
        <v>0.84294251091403372</v>
      </c>
      <c r="I6" s="6">
        <v>0.9962130300233023</v>
      </c>
      <c r="K6" t="s">
        <v>111</v>
      </c>
      <c r="L6" t="s">
        <v>111</v>
      </c>
      <c r="M6" t="s">
        <v>111</v>
      </c>
    </row>
    <row r="7" spans="1:21" x14ac:dyDescent="0.3">
      <c r="A7">
        <v>6</v>
      </c>
      <c r="B7" s="1" t="s">
        <v>8</v>
      </c>
      <c r="C7" s="2">
        <v>4304.6375818730503</v>
      </c>
      <c r="D7" s="2">
        <v>4304.451</v>
      </c>
      <c r="E7" s="2">
        <v>4288.10485199093</v>
      </c>
      <c r="F7" s="4" cm="1">
        <f t="array" ref="F7">[1]!Perc_Diff(D7,C7)</f>
        <v>-4.334626484312922E-5</v>
      </c>
      <c r="G7" s="4" cm="1">
        <f t="array" ref="G7">[1]!Perc_Diff(E7,C7)</f>
        <v>-3.8554863868229083E-3</v>
      </c>
      <c r="H7" s="5">
        <v>0.97166049393913023</v>
      </c>
      <c r="I7" s="6">
        <v>9.5006501979794301E-6</v>
      </c>
      <c r="K7" t="s">
        <v>112</v>
      </c>
      <c r="L7" s="6">
        <f>MIN(areas_usgs!$H$2:$H$101)</f>
        <v>7.275110865788156E-3</v>
      </c>
      <c r="M7" s="6">
        <f>MIN(areas_usgs!$I$2:$I$101)</f>
        <v>1.4627264042938966E-8</v>
      </c>
      <c r="T7" s="2">
        <v>10</v>
      </c>
      <c r="U7" s="3">
        <v>10</v>
      </c>
    </row>
    <row r="8" spans="1:21" x14ac:dyDescent="0.3">
      <c r="A8">
        <v>7</v>
      </c>
      <c r="B8" s="1" t="s">
        <v>9</v>
      </c>
      <c r="C8" s="2">
        <v>2022.5242100927401</v>
      </c>
      <c r="D8" s="2">
        <v>2022.1320000000001</v>
      </c>
      <c r="E8" s="2">
        <v>1953.3165814568099</v>
      </c>
      <c r="F8" s="4" cm="1">
        <f t="array" ref="F8">[1]!Perc_Diff(D8,C8)</f>
        <v>-1.9395869940242041E-4</v>
      </c>
      <c r="G8" s="4" cm="1">
        <f t="array" ref="G8">[1]!Perc_Diff(E8,C8)</f>
        <v>-3.5430830461856924E-2</v>
      </c>
      <c r="H8" s="5">
        <v>0.97543908963504611</v>
      </c>
      <c r="I8" s="6">
        <v>1.4627264042938966E-8</v>
      </c>
      <c r="K8" t="s">
        <v>113</v>
      </c>
      <c r="L8" s="6">
        <f>PERCENTILE(areas_usgs!$H$2:$H$101, 0.1)</f>
        <v>0.85159491720122038</v>
      </c>
      <c r="M8" s="6">
        <f>PERCENTILE(areas_usgs!$I$2:$I$101, 0.1)</f>
        <v>9.4076325593925178E-5</v>
      </c>
      <c r="T8" s="2">
        <v>1000000</v>
      </c>
      <c r="U8" s="3">
        <v>1000000</v>
      </c>
    </row>
    <row r="9" spans="1:21" x14ac:dyDescent="0.3">
      <c r="A9">
        <v>8</v>
      </c>
      <c r="B9" s="1" t="s">
        <v>10</v>
      </c>
      <c r="C9" s="2">
        <v>746.49493080252296</v>
      </c>
      <c r="D9" s="2">
        <v>745.96600000000001</v>
      </c>
      <c r="E9" s="2">
        <v>753.82353499176395</v>
      </c>
      <c r="F9" s="4" cm="1">
        <f t="array" ref="F9">[1]!Perc_Diff(D9,C9)</f>
        <v>-7.0905483966152638E-4</v>
      </c>
      <c r="G9" s="4" cm="1">
        <f t="array" ref="G9">[1]!Perc_Diff(E9,C9)</f>
        <v>9.7219095040871357E-3</v>
      </c>
      <c r="H9" s="5">
        <v>0.98687252581115492</v>
      </c>
      <c r="I9" s="6">
        <v>0.97229542050885942</v>
      </c>
      <c r="K9" t="s">
        <v>114</v>
      </c>
      <c r="L9" s="6">
        <f>PERCENTILE(areas_usgs!$H$2:$H$101, 0.25)</f>
        <v>0.93425515645777524</v>
      </c>
      <c r="M9" s="6">
        <f>PERCENTILE(areas_usgs!$I$2:$I$101, 0.25)</f>
        <v>0.95129544329482374</v>
      </c>
    </row>
    <row r="10" spans="1:21" x14ac:dyDescent="0.3">
      <c r="A10">
        <v>9</v>
      </c>
      <c r="B10" s="1" t="s">
        <v>11</v>
      </c>
      <c r="C10" s="2">
        <v>71.124095427162104</v>
      </c>
      <c r="D10" s="2">
        <v>70.188999999999993</v>
      </c>
      <c r="E10" s="2">
        <v>70.682285812646796</v>
      </c>
      <c r="F10" s="4" cm="1">
        <f t="array" ref="F10">[1]!Perc_Diff(D10,C10)</f>
        <v>-1.3322535257121638E-2</v>
      </c>
      <c r="G10" s="4" cm="1">
        <f t="array" ref="G10">[1]!Perc_Diff(E10,C10)</f>
        <v>-6.2506412948554729E-3</v>
      </c>
      <c r="H10" s="5">
        <v>0.98685757283801911</v>
      </c>
      <c r="I10" s="6">
        <v>0.98874247580869767</v>
      </c>
      <c r="K10" t="s">
        <v>115</v>
      </c>
      <c r="L10" s="6">
        <f>PERCENTILE(areas_usgs!$H$2:$H$101, 0.5)</f>
        <v>0.97984334895870207</v>
      </c>
      <c r="M10" s="6">
        <f>PERCENTILE(areas_usgs!$I$2:$I$101, 0.5)</f>
        <v>0.99025633640026833</v>
      </c>
    </row>
    <row r="11" spans="1:21" x14ac:dyDescent="0.3">
      <c r="A11">
        <v>10</v>
      </c>
      <c r="B11" s="1" t="s">
        <v>12</v>
      </c>
      <c r="C11" s="2">
        <v>232.44566245857499</v>
      </c>
      <c r="D11" s="2">
        <v>234.12899999999999</v>
      </c>
      <c r="E11" s="2">
        <v>233.33640418029</v>
      </c>
      <c r="F11" s="4" cm="1">
        <f t="array" ref="F11">[1]!Perc_Diff(D11,C11)</f>
        <v>7.1897865767376291E-3</v>
      </c>
      <c r="G11" s="4" cm="1">
        <f t="array" ref="G11">[1]!Perc_Diff(E11,C11)</f>
        <v>3.817414281514235E-3</v>
      </c>
      <c r="H11" s="5">
        <v>0.93456457030259221</v>
      </c>
      <c r="I11" s="6">
        <v>0.95484692039921559</v>
      </c>
      <c r="K11" t="s">
        <v>116</v>
      </c>
      <c r="L11" s="6">
        <f>PERCENTILE(areas_usgs!$H$2:$H$101, 0.75)</f>
        <v>0.99049836858184759</v>
      </c>
      <c r="M11" s="6">
        <f>PERCENTILE(areas_usgs!$I$2:$I$101, 0.75)</f>
        <v>0.99544128605903637</v>
      </c>
    </row>
    <row r="12" spans="1:21" x14ac:dyDescent="0.3">
      <c r="A12">
        <v>11</v>
      </c>
      <c r="B12" s="1" t="s">
        <v>13</v>
      </c>
      <c r="C12" s="2">
        <v>127.36828179480599</v>
      </c>
      <c r="D12" s="2">
        <v>121.81699999999999</v>
      </c>
      <c r="E12" s="2">
        <v>99.651174724879894</v>
      </c>
      <c r="F12" s="4" cm="1">
        <f t="array" ref="F12">[1]!Perc_Diff(D12,C12)</f>
        <v>-4.5570665792180089E-2</v>
      </c>
      <c r="G12" s="4" cm="1">
        <f t="array" ref="G12">[1]!Perc_Diff(E12,C12)</f>
        <v>-0.27814129784669739</v>
      </c>
      <c r="H12" s="5">
        <v>0.78787219491267912</v>
      </c>
      <c r="I12" s="6">
        <v>0.96304166667261804</v>
      </c>
      <c r="K12" t="s">
        <v>117</v>
      </c>
      <c r="L12" s="6">
        <f>PERCENTILE(areas_usgs!$H$2:$H$101, 0.9)</f>
        <v>0.99389254503752489</v>
      </c>
      <c r="M12" s="6">
        <f>PERCENTILE(areas_usgs!$I$2:$I$101, 0.9)</f>
        <v>0.99725392627723553</v>
      </c>
    </row>
    <row r="13" spans="1:21" x14ac:dyDescent="0.3">
      <c r="A13">
        <v>12</v>
      </c>
      <c r="B13" s="1" t="s">
        <v>14</v>
      </c>
      <c r="C13" s="2">
        <v>1988.13739011383</v>
      </c>
      <c r="D13" s="2">
        <v>1987.549</v>
      </c>
      <c r="E13" s="2">
        <v>2007.33098656416</v>
      </c>
      <c r="F13" s="4" cm="1">
        <f t="array" ref="F13">[1]!Perc_Diff(D13,C13)</f>
        <v>-2.9603804174386313E-4</v>
      </c>
      <c r="G13" s="4" cm="1">
        <f t="array" ref="G13">[1]!Perc_Diff(E13,C13)</f>
        <v>9.5617496958897881E-3</v>
      </c>
      <c r="H13" s="5">
        <v>0.88721408464132512</v>
      </c>
      <c r="I13" s="6">
        <v>0.98057955610550285</v>
      </c>
      <c r="K13" t="s">
        <v>118</v>
      </c>
      <c r="L13" s="6">
        <f>MAX(areas_usgs!$H$2:$H$101)</f>
        <v>0.99868545888472249</v>
      </c>
      <c r="M13" s="6">
        <f>MAX(areas_usgs!$I$2:$I$101)</f>
        <v>0.99893495908641006</v>
      </c>
    </row>
    <row r="14" spans="1:21" x14ac:dyDescent="0.3">
      <c r="A14">
        <v>13</v>
      </c>
      <c r="B14" s="1" t="s">
        <v>15</v>
      </c>
      <c r="C14" s="2">
        <v>426.62628468317001</v>
      </c>
      <c r="D14" s="2">
        <v>420.69</v>
      </c>
      <c r="E14" s="2">
        <v>421.52686105924403</v>
      </c>
      <c r="F14" s="4" cm="1">
        <f t="array" ref="F14">[1]!Perc_Diff(D14,C14)</f>
        <v>-1.4110829074068828E-2</v>
      </c>
      <c r="G14" s="4" cm="1">
        <f t="array" ref="G14">[1]!Perc_Diff(E14,C14)</f>
        <v>-1.2097505746399589E-2</v>
      </c>
      <c r="H14" s="5">
        <v>0.99383890063657876</v>
      </c>
      <c r="I14" s="6">
        <v>0.99763379821771903</v>
      </c>
      <c r="K14" t="s">
        <v>119</v>
      </c>
      <c r="L14" s="6" t="s">
        <v>119</v>
      </c>
      <c r="M14" t="s">
        <v>119</v>
      </c>
    </row>
    <row r="15" spans="1:21" x14ac:dyDescent="0.3">
      <c r="A15">
        <v>14</v>
      </c>
      <c r="B15" s="1" t="s">
        <v>16</v>
      </c>
      <c r="C15" s="2">
        <v>8681.3828895657698</v>
      </c>
      <c r="D15" s="2">
        <v>8680.6810000000005</v>
      </c>
      <c r="E15" s="2">
        <v>8682.9500443475699</v>
      </c>
      <c r="F15" s="4" cm="1">
        <f t="array" ref="F15">[1]!Perc_Diff(D15,C15)</f>
        <v>-8.0856509503033974E-5</v>
      </c>
      <c r="G15" s="4" cm="1">
        <f t="array" ref="G15">[1]!Perc_Diff(E15,C15)</f>
        <v>1.8048644456043072E-4</v>
      </c>
      <c r="H15" s="5">
        <v>0.98747898695415093</v>
      </c>
      <c r="I15" s="6">
        <v>0.99532530805594976</v>
      </c>
      <c r="K15" t="s">
        <v>120</v>
      </c>
      <c r="L15" s="7">
        <f>STDEV(areas_usgs!$H$2:$H$101)/AVERAGE(areas_usgs!$H$2:$H$101)</f>
        <v>0.16579064858915399</v>
      </c>
      <c r="M15" s="7">
        <f>STDEV(areas_usgs!$I$2:$I$101)/AVERAGE(areas_usgs!$I$2:$I$101)</f>
        <v>0.41366517084357007</v>
      </c>
    </row>
    <row r="16" spans="1:21" x14ac:dyDescent="0.3">
      <c r="A16">
        <v>15</v>
      </c>
      <c r="B16" s="1" t="s">
        <v>17</v>
      </c>
      <c r="C16" s="2">
        <v>673.34772051253299</v>
      </c>
      <c r="D16" s="2">
        <v>672.44100000000003</v>
      </c>
      <c r="E16" s="2">
        <v>672.70573461236597</v>
      </c>
      <c r="F16" s="4" cm="1">
        <f t="array" ref="F16">[1]!Perc_Diff(D16,C16)</f>
        <v>-1.3484015884411516E-3</v>
      </c>
      <c r="G16" s="4" cm="1">
        <f t="array" ref="G16">[1]!Perc_Diff(E16,C16)</f>
        <v>-9.5433391917930811E-4</v>
      </c>
      <c r="H16" s="5">
        <v>0.891262573633675</v>
      </c>
      <c r="I16" s="6">
        <v>0.78108247979444445</v>
      </c>
      <c r="K16" t="s">
        <v>121</v>
      </c>
      <c r="L16" s="7">
        <f>SKEW(areas_usgs!$H$2:$H$101)</f>
        <v>-4.3764901632392368</v>
      </c>
      <c r="M16" s="7">
        <f>SKEW(areas_usgs!$I$2:$I$101)</f>
        <v>-1.9786196363276141</v>
      </c>
    </row>
    <row r="17" spans="1:9" x14ac:dyDescent="0.3">
      <c r="A17">
        <v>16</v>
      </c>
      <c r="B17" s="1" t="s">
        <v>18</v>
      </c>
      <c r="C17" s="2">
        <v>2913.1803471779799</v>
      </c>
      <c r="D17" s="2">
        <v>2913.1170000000002</v>
      </c>
      <c r="E17" s="2">
        <v>2908.0215261743001</v>
      </c>
      <c r="F17" s="4" cm="1">
        <f t="array" ref="F17">[1]!Perc_Diff(D17,C17)</f>
        <v>-2.1745497341755201E-5</v>
      </c>
      <c r="G17" s="4" cm="1">
        <f t="array" ref="G17">[1]!Perc_Diff(E17,C17)</f>
        <v>-1.7739968419238574E-3</v>
      </c>
      <c r="H17" s="5">
        <v>0.5097689597824212</v>
      </c>
      <c r="I17" s="6">
        <v>0.99028358667736616</v>
      </c>
    </row>
    <row r="18" spans="1:9" x14ac:dyDescent="0.3">
      <c r="A18">
        <v>17</v>
      </c>
      <c r="B18" s="1" t="s">
        <v>19</v>
      </c>
      <c r="C18" s="2">
        <v>22833.0729099698</v>
      </c>
      <c r="D18" s="2">
        <v>22830.316999999999</v>
      </c>
      <c r="E18" s="2">
        <v>22836.3986028252</v>
      </c>
      <c r="F18" s="4" cm="1">
        <f t="array" ref="F18">[1]!Perc_Diff(D18,C18)</f>
        <v>-1.2071273341500235E-4</v>
      </c>
      <c r="G18" s="4" cm="1">
        <f t="array" ref="G18">[1]!Perc_Diff(E18,C18)</f>
        <v>1.4563123166840691E-4</v>
      </c>
      <c r="H18" s="5">
        <v>0.9915317023380581</v>
      </c>
      <c r="I18" s="6">
        <v>0.99344864055911342</v>
      </c>
    </row>
    <row r="19" spans="1:9" x14ac:dyDescent="0.3">
      <c r="A19">
        <v>18</v>
      </c>
      <c r="B19" s="1" t="s">
        <v>20</v>
      </c>
      <c r="C19" s="2">
        <v>2931.5218708840798</v>
      </c>
      <c r="D19" s="2">
        <v>2931.56</v>
      </c>
      <c r="E19" s="2">
        <v>2920.2545250226099</v>
      </c>
      <c r="F19" s="4" cm="1">
        <f t="array" ref="F19">[1]!Perc_Diff(D19,C19)</f>
        <v>1.3006425220745351E-5</v>
      </c>
      <c r="G19" s="4" cm="1">
        <f t="array" ref="G19">[1]!Perc_Diff(E19,C19)</f>
        <v>-3.8583437727513535E-3</v>
      </c>
      <c r="H19" s="5">
        <v>0.98344276795390051</v>
      </c>
      <c r="I19" s="6">
        <v>0.99317969906155212</v>
      </c>
    </row>
    <row r="20" spans="1:9" x14ac:dyDescent="0.3">
      <c r="A20">
        <v>19</v>
      </c>
      <c r="B20" s="1" t="s">
        <v>21</v>
      </c>
      <c r="C20" s="2">
        <v>3238.71996751597</v>
      </c>
      <c r="D20" s="2">
        <v>3239.8620000000001</v>
      </c>
      <c r="E20" s="2">
        <v>3068.0904690737898</v>
      </c>
      <c r="F20" s="4" cm="1">
        <f t="array" ref="F20">[1]!Perc_Diff(D20,C20)</f>
        <v>3.5249417537848719E-4</v>
      </c>
      <c r="G20" s="4" cm="1">
        <f t="array" ref="G20">[1]!Perc_Diff(E20,C20)</f>
        <v>-5.5614233074975351E-2</v>
      </c>
      <c r="H20" s="5">
        <v>0.97044567223525757</v>
      </c>
      <c r="I20" s="6">
        <v>0.98999766557320612</v>
      </c>
    </row>
    <row r="21" spans="1:9" x14ac:dyDescent="0.3">
      <c r="A21">
        <v>20</v>
      </c>
      <c r="B21" s="1" t="s">
        <v>22</v>
      </c>
      <c r="C21" s="2">
        <v>182.19197182523001</v>
      </c>
      <c r="D21" s="2">
        <v>179.58500000000001</v>
      </c>
      <c r="E21" s="2">
        <v>162.09523399587999</v>
      </c>
      <c r="F21" s="4" cm="1">
        <f t="array" ref="F21">[1]!Perc_Diff(D21,C21)</f>
        <v>-1.4516645740067405E-2</v>
      </c>
      <c r="G21" s="4" cm="1">
        <f t="array" ref="G21">[1]!Perc_Diff(E21,C21)</f>
        <v>-0.12398105319901523</v>
      </c>
      <c r="H21" s="5">
        <v>0.99586484565114308</v>
      </c>
      <c r="I21" s="6">
        <v>0.996733698046114</v>
      </c>
    </row>
    <row r="22" spans="1:9" x14ac:dyDescent="0.3">
      <c r="A22">
        <v>21</v>
      </c>
      <c r="B22" s="1" t="s">
        <v>23</v>
      </c>
      <c r="C22" s="2">
        <v>8245.2113930779196</v>
      </c>
      <c r="D22" s="2">
        <v>8246.9779999999992</v>
      </c>
      <c r="E22" s="2">
        <v>8278.7865339382606</v>
      </c>
      <c r="F22" s="4" cm="1">
        <f t="array" ref="F22">[1]!Perc_Diff(D22,C22)</f>
        <v>2.1421263911211089E-4</v>
      </c>
      <c r="G22" s="4" cm="1">
        <f t="array" ref="G22">[1]!Perc_Diff(E22,C22)</f>
        <v>4.0555630614102951E-3</v>
      </c>
      <c r="H22" s="5">
        <v>0.97009281034448924</v>
      </c>
      <c r="I22" s="6">
        <v>0.99893495908641006</v>
      </c>
    </row>
    <row r="23" spans="1:9" x14ac:dyDescent="0.3">
      <c r="A23">
        <v>22</v>
      </c>
      <c r="B23" s="1" t="s">
        <v>24</v>
      </c>
      <c r="C23" s="2">
        <v>456.694898514736</v>
      </c>
      <c r="D23" s="2">
        <v>456.23700000000002</v>
      </c>
      <c r="E23" s="2">
        <v>434.60146747117398</v>
      </c>
      <c r="F23" s="4" cm="1">
        <f t="array" ref="F23">[1]!Perc_Diff(D23,C23)</f>
        <v>-1.003641779899423E-3</v>
      </c>
      <c r="G23" s="4" cm="1">
        <f t="array" ref="G23">[1]!Perc_Diff(E23,C23)</f>
        <v>-5.0836070968921482E-2</v>
      </c>
      <c r="H23" s="5">
        <v>0.96989004585597172</v>
      </c>
      <c r="I23" s="6">
        <v>0.97717523834429476</v>
      </c>
    </row>
    <row r="24" spans="1:9" x14ac:dyDescent="0.3">
      <c r="A24">
        <v>23</v>
      </c>
      <c r="B24" s="1" t="s">
        <v>25</v>
      </c>
      <c r="C24" s="2">
        <v>486.467487964508</v>
      </c>
      <c r="D24" s="2">
        <v>486.13099999999997</v>
      </c>
      <c r="E24" s="2">
        <v>488.67569473545399</v>
      </c>
      <c r="F24" s="4" cm="1">
        <f t="array" ref="F24">[1]!Perc_Diff(D24,C24)</f>
        <v>-6.9217549283634178E-4</v>
      </c>
      <c r="G24" s="4" cm="1">
        <f t="array" ref="G24">[1]!Perc_Diff(E24,C24)</f>
        <v>4.5187571117925379E-3</v>
      </c>
      <c r="H24" s="5">
        <v>0.99150684300100467</v>
      </c>
      <c r="I24" s="6">
        <v>0.99069869827307055</v>
      </c>
    </row>
    <row r="25" spans="1:9" x14ac:dyDescent="0.3">
      <c r="A25">
        <v>24</v>
      </c>
      <c r="B25" s="1" t="s">
        <v>26</v>
      </c>
      <c r="C25" s="2">
        <v>11548.4828674209</v>
      </c>
      <c r="D25" s="2">
        <v>4.0469999999999997</v>
      </c>
      <c r="E25" s="2">
        <v>11543.9311533976</v>
      </c>
      <c r="F25" s="4" cm="1">
        <f t="array" ref="F25">[1]!Perc_Diff(D25,C25)</f>
        <v>-2852.5910223426986</v>
      </c>
      <c r="G25" s="4" cm="1">
        <f t="array" ref="G25">[1]!Perc_Diff(E25,C25)</f>
        <v>-3.9429497307430343E-4</v>
      </c>
      <c r="H25" s="5">
        <v>0.97895571980621687</v>
      </c>
      <c r="I25" s="6">
        <v>0.99578922006829618</v>
      </c>
    </row>
    <row r="26" spans="1:9" x14ac:dyDescent="0.3">
      <c r="A26">
        <v>25</v>
      </c>
      <c r="B26" s="1" t="s">
        <v>27</v>
      </c>
      <c r="C26" s="2">
        <v>50495.008506990001</v>
      </c>
      <c r="D26" s="2">
        <v>6.4000000000000001E-2</v>
      </c>
      <c r="E26" s="2">
        <v>50446.465622631003</v>
      </c>
      <c r="F26" s="4" cm="1">
        <f t="array" ref="F26">[1]!Perc_Diff(D26,C26)</f>
        <v>-788983.50792171876</v>
      </c>
      <c r="G26" s="4" cm="1">
        <f t="array" ref="G26">[1]!Perc_Diff(E26,C26)</f>
        <v>-9.6226531948000237E-4</v>
      </c>
      <c r="H26" s="5">
        <v>0.95537451729988421</v>
      </c>
      <c r="I26" s="6">
        <v>0.99022908612317051</v>
      </c>
    </row>
    <row r="27" spans="1:9" x14ac:dyDescent="0.3">
      <c r="A27">
        <v>26</v>
      </c>
      <c r="B27" s="1" t="s">
        <v>28</v>
      </c>
      <c r="C27" s="2">
        <v>369.77525948523999</v>
      </c>
      <c r="D27" s="2">
        <v>366.04399999999998</v>
      </c>
      <c r="E27" s="2">
        <v>238.932197147685</v>
      </c>
      <c r="F27" s="4" cm="1">
        <f t="array" ref="F27">[1]!Perc_Diff(D27,C27)</f>
        <v>-1.0193472602310112E-2</v>
      </c>
      <c r="G27" s="4" cm="1">
        <f t="array" ref="G27">[1]!Perc_Diff(E27,C27)</f>
        <v>-0.54761586717708177</v>
      </c>
      <c r="H27" s="5">
        <v>0.89206942993574179</v>
      </c>
      <c r="I27" s="6">
        <v>0.99482567728047133</v>
      </c>
    </row>
    <row r="28" spans="1:9" x14ac:dyDescent="0.3">
      <c r="A28">
        <v>27</v>
      </c>
      <c r="B28" s="1" t="s">
        <v>29</v>
      </c>
      <c r="C28" s="2">
        <v>3926.57978169542</v>
      </c>
      <c r="D28" s="2">
        <v>3925.4229999999998</v>
      </c>
      <c r="E28" s="2">
        <v>3925.54064499692</v>
      </c>
      <c r="F28" s="4" cm="1">
        <f t="array" ref="F28">[1]!Perc_Diff(D28,C28)</f>
        <v>-2.9468969214789081E-4</v>
      </c>
      <c r="G28" s="4" cm="1">
        <f t="array" ref="G28">[1]!Perc_Diff(E28,C28)</f>
        <v>-2.6471174099913135E-4</v>
      </c>
      <c r="H28" s="5">
        <v>0.99324549411571827</v>
      </c>
      <c r="I28" s="6">
        <v>0.9966623453514456</v>
      </c>
    </row>
    <row r="29" spans="1:9" x14ac:dyDescent="0.3">
      <c r="A29">
        <v>28</v>
      </c>
      <c r="B29" s="1" t="s">
        <v>30</v>
      </c>
      <c r="C29" s="2">
        <v>7169.0664647302101</v>
      </c>
      <c r="D29" s="2">
        <v>7168.8450000000003</v>
      </c>
      <c r="E29" s="2">
        <v>7175.2281289973798</v>
      </c>
      <c r="F29" s="4" cm="1">
        <f t="array" ref="F29">[1]!Perc_Diff(D29,C29)</f>
        <v>-3.0892665444690963E-5</v>
      </c>
      <c r="G29" s="4" cm="1">
        <f t="array" ref="G29">[1]!Perc_Diff(E29,C29)</f>
        <v>8.5874123531605646E-4</v>
      </c>
      <c r="H29" s="5">
        <v>0.94800504327206081</v>
      </c>
      <c r="I29" s="6">
        <v>0.99081372421995395</v>
      </c>
    </row>
    <row r="30" spans="1:9" x14ac:dyDescent="0.3">
      <c r="A30">
        <v>29</v>
      </c>
      <c r="B30" s="1" t="s">
        <v>31</v>
      </c>
      <c r="C30" s="2">
        <v>346.23904531303799</v>
      </c>
      <c r="D30" s="2">
        <v>344.76499999999999</v>
      </c>
      <c r="E30" s="2">
        <v>344.91564639466799</v>
      </c>
      <c r="F30" s="4" cm="1">
        <f t="array" ref="F30">[1]!Perc_Diff(D30,C30)</f>
        <v>-4.275507412405565E-3</v>
      </c>
      <c r="G30" s="4" cm="1">
        <f t="array" ref="G30">[1]!Perc_Diff(E30,C30)</f>
        <v>-3.8368770225509301E-3</v>
      </c>
      <c r="H30" s="5">
        <v>0.93807131377071362</v>
      </c>
      <c r="I30" s="6">
        <v>0.98101777396119605</v>
      </c>
    </row>
    <row r="31" spans="1:9" x14ac:dyDescent="0.3">
      <c r="A31">
        <v>30</v>
      </c>
      <c r="B31" s="1" t="s">
        <v>32</v>
      </c>
      <c r="C31" s="2">
        <v>746.95091073966898</v>
      </c>
      <c r="D31" s="2">
        <v>740.87099999999998</v>
      </c>
      <c r="E31" s="2">
        <v>740.61538491029603</v>
      </c>
      <c r="F31" s="4" cm="1">
        <f t="array" ref="F31">[1]!Perc_Diff(D31,C31)</f>
        <v>-8.2064363967127921E-3</v>
      </c>
      <c r="G31" s="4" cm="1">
        <f t="array" ref="G31">[1]!Perc_Diff(E31,C31)</f>
        <v>-8.5544075352152176E-3</v>
      </c>
      <c r="H31" s="5">
        <v>0.98801875933878014</v>
      </c>
      <c r="I31" s="6">
        <v>0.99367084770221581</v>
      </c>
    </row>
    <row r="32" spans="1:9" x14ac:dyDescent="0.3">
      <c r="A32">
        <v>31</v>
      </c>
      <c r="B32" s="1" t="s">
        <v>33</v>
      </c>
      <c r="C32" s="2">
        <v>1610.4261176076</v>
      </c>
      <c r="D32" s="2">
        <v>1609.231</v>
      </c>
      <c r="E32" s="2">
        <v>1606.1897244941499</v>
      </c>
      <c r="F32" s="4" cm="1">
        <f t="array" ref="F32">[1]!Perc_Diff(D32,C32)</f>
        <v>-7.4266379879580268E-4</v>
      </c>
      <c r="G32" s="4" cm="1">
        <f t="array" ref="G32">[1]!Perc_Diff(E32,C32)</f>
        <v>-2.6375421588406998E-3</v>
      </c>
      <c r="H32" s="5">
        <v>0.99064676557373621</v>
      </c>
      <c r="I32" s="6">
        <v>0.99348519781984557</v>
      </c>
    </row>
    <row r="33" spans="1:9" x14ac:dyDescent="0.3">
      <c r="A33">
        <v>32</v>
      </c>
      <c r="B33" s="1" t="s">
        <v>34</v>
      </c>
      <c r="C33" s="2">
        <v>2059.7503503635398</v>
      </c>
      <c r="D33" s="2">
        <v>2056.63</v>
      </c>
      <c r="E33" s="2">
        <v>2014.23114424194</v>
      </c>
      <c r="F33" s="4" cm="1">
        <f t="array" ref="F33">[1]!Perc_Diff(D33,C33)</f>
        <v>-1.5172152324626831E-3</v>
      </c>
      <c r="G33" s="4" cm="1">
        <f t="array" ref="G33">[1]!Perc_Diff(E33,C33)</f>
        <v>-2.259879967188725E-2</v>
      </c>
      <c r="H33" s="5">
        <v>0.84371927050942397</v>
      </c>
      <c r="I33" s="6">
        <v>0.96819413841997926</v>
      </c>
    </row>
    <row r="34" spans="1:9" x14ac:dyDescent="0.3">
      <c r="A34">
        <v>33</v>
      </c>
      <c r="B34" s="1" t="s">
        <v>35</v>
      </c>
      <c r="C34" s="2">
        <v>2474.1694040828902</v>
      </c>
      <c r="D34" s="2">
        <v>60.396999999999998</v>
      </c>
      <c r="E34" s="2">
        <v>2470.0011043716399</v>
      </c>
      <c r="F34" s="4" cm="1">
        <f t="array" ref="F34">[1]!Perc_Diff(D34,C34)</f>
        <v>-39.96510429463202</v>
      </c>
      <c r="G34" s="4" cm="1">
        <f t="array" ref="G34">[1]!Perc_Diff(E34,C34)</f>
        <v>-1.6875699787634944E-3</v>
      </c>
      <c r="H34" s="5">
        <v>0.99622974561201627</v>
      </c>
      <c r="I34" s="6">
        <v>0.99794319390452724</v>
      </c>
    </row>
    <row r="35" spans="1:9" x14ac:dyDescent="0.3">
      <c r="A35">
        <v>34</v>
      </c>
      <c r="B35" s="1" t="s">
        <v>36</v>
      </c>
      <c r="C35" s="2">
        <v>554.67548446107799</v>
      </c>
      <c r="D35" s="2">
        <v>554.36300000000006</v>
      </c>
      <c r="E35" s="2">
        <v>554.53357925390503</v>
      </c>
      <c r="F35" s="4" cm="1">
        <f t="array" ref="F35">[1]!Perc_Diff(D35,C35)</f>
        <v>-5.6368202978540974E-4</v>
      </c>
      <c r="G35" s="4" cm="1">
        <f t="array" ref="G35">[1]!Perc_Diff(E35,C35)</f>
        <v>-2.5590011584849317E-4</v>
      </c>
      <c r="H35" s="5">
        <v>0.91270686198280304</v>
      </c>
      <c r="I35" s="6">
        <v>4.5740142104083125E-6</v>
      </c>
    </row>
    <row r="36" spans="1:9" x14ac:dyDescent="0.3">
      <c r="A36">
        <v>35</v>
      </c>
      <c r="B36" s="1" t="s">
        <v>37</v>
      </c>
      <c r="C36" s="2">
        <v>237.80825542473301</v>
      </c>
      <c r="D36" s="2">
        <v>89.855999999999995</v>
      </c>
      <c r="E36" s="2">
        <v>236.164192759879</v>
      </c>
      <c r="F36" s="4" cm="1">
        <f t="array" ref="F36">[1]!Perc_Diff(D36,C36)</f>
        <v>-1.6465484266463344</v>
      </c>
      <c r="G36" s="4" cm="1">
        <f t="array" ref="G36">[1]!Perc_Diff(E36,C36)</f>
        <v>-6.9615238688009434E-3</v>
      </c>
      <c r="H36" s="5">
        <v>0.9927150676383395</v>
      </c>
      <c r="I36" s="6">
        <v>0.99375126571798877</v>
      </c>
    </row>
    <row r="37" spans="1:9" x14ac:dyDescent="0.3">
      <c r="A37">
        <v>36</v>
      </c>
      <c r="B37" s="1" t="s">
        <v>38</v>
      </c>
      <c r="C37" s="2">
        <v>901.01290024507</v>
      </c>
      <c r="D37" s="2">
        <v>901.03200000000004</v>
      </c>
      <c r="E37" s="2">
        <v>902.17497714907097</v>
      </c>
      <c r="F37" s="4" cm="1">
        <f t="array" ref="F37">[1]!Perc_Diff(D37,C37)</f>
        <v>2.1197643291291679E-5</v>
      </c>
      <c r="G37" s="4" cm="1">
        <f t="array" ref="G37">[1]!Perc_Diff(E37,C37)</f>
        <v>1.2880837237064637E-3</v>
      </c>
      <c r="H37" s="5">
        <v>0.99281934933198812</v>
      </c>
      <c r="I37" s="6">
        <v>0.9950708959104454</v>
      </c>
    </row>
    <row r="38" spans="1:9" x14ac:dyDescent="0.3">
      <c r="A38">
        <v>37</v>
      </c>
      <c r="B38" s="1" t="s">
        <v>39</v>
      </c>
      <c r="C38" s="2">
        <v>4891.2168164833402</v>
      </c>
      <c r="D38" s="2">
        <v>4890.42</v>
      </c>
      <c r="E38" s="2">
        <v>4837.3753342086402</v>
      </c>
      <c r="F38" s="4" cm="1">
        <f t="array" ref="F38">[1]!Perc_Diff(D38,C38)</f>
        <v>-1.6293416175708437E-4</v>
      </c>
      <c r="G38" s="4" cm="1">
        <f t="array" ref="G38">[1]!Perc_Diff(E38,C38)</f>
        <v>-1.1130309011572291E-2</v>
      </c>
      <c r="H38" s="5">
        <v>0.97247693039438909</v>
      </c>
      <c r="I38" s="6">
        <v>0.99652100530532894</v>
      </c>
    </row>
    <row r="39" spans="1:9" x14ac:dyDescent="0.3">
      <c r="A39">
        <v>38</v>
      </c>
      <c r="B39" s="1" t="s">
        <v>40</v>
      </c>
      <c r="C39" s="2">
        <v>1539.63654619268</v>
      </c>
      <c r="D39" s="2">
        <v>1541.325</v>
      </c>
      <c r="E39" s="2">
        <v>1560.9910162629701</v>
      </c>
      <c r="F39" s="4" cm="1">
        <f t="array" ref="F39">[1]!Perc_Diff(D39,C39)</f>
        <v>1.0954560571715907E-3</v>
      </c>
      <c r="G39" s="4" cm="1">
        <f t="array" ref="G39">[1]!Perc_Diff(E39,C39)</f>
        <v>1.3680072369290697E-2</v>
      </c>
      <c r="H39" s="5">
        <v>0.98701517221723123</v>
      </c>
      <c r="I39" s="6">
        <v>1.2659502344455564E-5</v>
      </c>
    </row>
    <row r="40" spans="1:9" x14ac:dyDescent="0.3">
      <c r="A40">
        <v>39</v>
      </c>
      <c r="B40" s="1" t="s">
        <v>41</v>
      </c>
      <c r="C40" s="2">
        <v>840.07013969780701</v>
      </c>
      <c r="D40" s="2">
        <v>829.10299999999995</v>
      </c>
      <c r="E40" s="2">
        <v>832.88669690317897</v>
      </c>
      <c r="F40" s="4" cm="1">
        <f t="array" ref="F40">[1]!Perc_Diff(D40,C40)</f>
        <v>-1.3227716819028585E-2</v>
      </c>
      <c r="G40" s="4" cm="1">
        <f t="array" ref="G40">[1]!Perc_Diff(E40,C40)</f>
        <v>-8.6247539087097383E-3</v>
      </c>
      <c r="H40" s="5">
        <v>0.99178602786907621</v>
      </c>
      <c r="I40" s="6">
        <v>0.98612577720432359</v>
      </c>
    </row>
    <row r="41" spans="1:9" x14ac:dyDescent="0.3">
      <c r="A41">
        <v>40</v>
      </c>
      <c r="B41" s="1" t="s">
        <v>42</v>
      </c>
      <c r="C41" s="2">
        <v>5130.5680294297999</v>
      </c>
      <c r="D41" s="2">
        <v>5079.5780000000004</v>
      </c>
      <c r="E41" s="2">
        <v>5491.93307063662</v>
      </c>
      <c r="F41" s="4" cm="1">
        <f t="array" ref="F41">[1]!Perc_Diff(D41,C41)</f>
        <v>-1.0038241253466234E-2</v>
      </c>
      <c r="G41" s="4" cm="1">
        <f t="array" ref="G41">[1]!Perc_Diff(E41,C41)</f>
        <v>6.579924346472979E-2</v>
      </c>
      <c r="H41" s="5">
        <v>0.99736713631404905</v>
      </c>
      <c r="I41" s="6">
        <v>2.4320113597118664E-2</v>
      </c>
    </row>
    <row r="42" spans="1:9" x14ac:dyDescent="0.3">
      <c r="A42">
        <v>41</v>
      </c>
      <c r="B42" s="1" t="s">
        <v>43</v>
      </c>
      <c r="C42" s="2">
        <v>3685.7316744702898</v>
      </c>
      <c r="D42" s="2">
        <v>1.4E-2</v>
      </c>
      <c r="E42" s="2">
        <v>3866.5927681109501</v>
      </c>
      <c r="F42" s="4" cm="1">
        <f t="array" ref="F42">[1]!Perc_Diff(D42,C42)</f>
        <v>-263265.54817644926</v>
      </c>
      <c r="G42" s="4" cm="1">
        <f t="array" ref="G42">[1]!Perc_Diff(E42,C42)</f>
        <v>4.6775314724705606E-2</v>
      </c>
      <c r="H42" s="5">
        <v>0.98009288227952296</v>
      </c>
      <c r="I42" s="6">
        <v>0.99667760282750772</v>
      </c>
    </row>
    <row r="43" spans="1:9" x14ac:dyDescent="0.3">
      <c r="A43">
        <v>42</v>
      </c>
      <c r="B43" s="1" t="s">
        <v>44</v>
      </c>
      <c r="C43" s="2">
        <v>28452.150727303298</v>
      </c>
      <c r="D43" s="2">
        <v>21823.973999999998</v>
      </c>
      <c r="E43" s="2">
        <v>30593.558542212799</v>
      </c>
      <c r="F43" s="4" cm="1">
        <f t="array" ref="F43">[1]!Perc_Diff(D43,C43)</f>
        <v>-0.3037108057085891</v>
      </c>
      <c r="G43" s="4" cm="1">
        <f t="array" ref="G43">[1]!Perc_Diff(E43,C43)</f>
        <v>6.9995381934886691E-2</v>
      </c>
      <c r="H43" s="5">
        <v>0.95220185467514507</v>
      </c>
      <c r="I43" s="6">
        <v>0.99695266029229002</v>
      </c>
    </row>
    <row r="44" spans="1:9" x14ac:dyDescent="0.3">
      <c r="A44">
        <v>43</v>
      </c>
      <c r="B44" s="1" t="s">
        <v>45</v>
      </c>
      <c r="C44" s="2">
        <v>3415.9803727854101</v>
      </c>
      <c r="D44" s="2">
        <v>3418.0819999999999</v>
      </c>
      <c r="E44" s="2">
        <v>3148.2241512560099</v>
      </c>
      <c r="F44" s="4" cm="1">
        <f t="array" ref="F44">[1]!Perc_Diff(D44,C44)</f>
        <v>6.1485570404391288E-4</v>
      </c>
      <c r="G44" s="4" cm="1">
        <f t="array" ref="G44">[1]!Perc_Diff(E44,C44)</f>
        <v>-8.504992296135476E-2</v>
      </c>
      <c r="H44" s="5">
        <v>0.98773365241280076</v>
      </c>
      <c r="I44" s="6">
        <v>0.98083257565570625</v>
      </c>
    </row>
    <row r="45" spans="1:9" x14ac:dyDescent="0.3">
      <c r="A45">
        <v>44</v>
      </c>
      <c r="B45" s="1" t="s">
        <v>46</v>
      </c>
      <c r="C45" s="2">
        <v>1373.5925041770299</v>
      </c>
      <c r="D45" s="2">
        <v>1319.8789999999999</v>
      </c>
      <c r="E45" s="2">
        <v>1293.15421699645</v>
      </c>
      <c r="F45" s="4" cm="1">
        <f t="array" ref="F45">[1]!Perc_Diff(D45,C45)</f>
        <v>-4.0695779065376463E-2</v>
      </c>
      <c r="G45" s="4" cm="1">
        <f t="array" ref="G45">[1]!Perc_Diff(E45,C45)</f>
        <v>-6.2203166585506106E-2</v>
      </c>
      <c r="H45" s="5">
        <v>0.98038320573846516</v>
      </c>
      <c r="I45" s="6">
        <v>0.99802550840066551</v>
      </c>
    </row>
    <row r="46" spans="1:9" x14ac:dyDescent="0.3">
      <c r="A46">
        <v>45</v>
      </c>
      <c r="B46" s="1" t="s">
        <v>47</v>
      </c>
      <c r="C46" s="2">
        <v>572.82969698731097</v>
      </c>
      <c r="D46" s="2">
        <v>572.29899999999998</v>
      </c>
      <c r="E46" s="2">
        <v>572.27888189040505</v>
      </c>
      <c r="F46" s="4" cm="1">
        <f t="array" ref="F46">[1]!Perc_Diff(D46,C46)</f>
        <v>-9.2730720709102981E-4</v>
      </c>
      <c r="G46" s="4" cm="1">
        <f t="array" ref="G46">[1]!Perc_Diff(E46,C46)</f>
        <v>-9.6249418655187436E-4</v>
      </c>
      <c r="H46" s="5">
        <v>0.99666739135982474</v>
      </c>
      <c r="I46" s="6">
        <v>0.9985858942184026</v>
      </c>
    </row>
    <row r="47" spans="1:9" x14ac:dyDescent="0.3">
      <c r="A47">
        <v>46</v>
      </c>
      <c r="B47" s="1" t="s">
        <v>48</v>
      </c>
      <c r="C47" s="2">
        <v>910.89739476151203</v>
      </c>
      <c r="D47" s="2">
        <v>909.71600000000001</v>
      </c>
      <c r="E47" s="2">
        <v>896.21706857163394</v>
      </c>
      <c r="F47" s="4" cm="1">
        <f t="array" ref="F47">[1]!Perc_Diff(D47,C47)</f>
        <v>-1.2986412919109085E-3</v>
      </c>
      <c r="G47" s="4" cm="1">
        <f t="array" ref="G47">[1]!Perc_Diff(E47,C47)</f>
        <v>-1.6380324259250258E-2</v>
      </c>
      <c r="H47" s="5">
        <v>0.98953702353108219</v>
      </c>
      <c r="I47" s="6">
        <v>2.3391169881174877E-6</v>
      </c>
    </row>
    <row r="48" spans="1:9" x14ac:dyDescent="0.3">
      <c r="A48">
        <v>47</v>
      </c>
      <c r="B48" s="1" t="s">
        <v>49</v>
      </c>
      <c r="C48" s="2">
        <v>3368.9477012265302</v>
      </c>
      <c r="D48" s="2">
        <v>3366.3139999999999</v>
      </c>
      <c r="E48" s="2">
        <v>3594.8827051585499</v>
      </c>
      <c r="F48" s="4" cm="1">
        <f t="array" ref="F48">[1]!Perc_Diff(D48,C48)</f>
        <v>-7.8236944816506137E-4</v>
      </c>
      <c r="G48" s="4" cm="1">
        <f t="array" ref="G48">[1]!Perc_Diff(E48,C48)</f>
        <v>6.2849061419391991E-2</v>
      </c>
      <c r="H48" s="5">
        <v>0.98642058102396768</v>
      </c>
      <c r="I48" s="6">
        <v>0.99002490044303693</v>
      </c>
    </row>
    <row r="49" spans="1:9" x14ac:dyDescent="0.3">
      <c r="A49">
        <v>48</v>
      </c>
      <c r="B49" s="1" t="s">
        <v>50</v>
      </c>
      <c r="C49" s="2">
        <v>2187.1981182543</v>
      </c>
      <c r="D49" s="2">
        <v>2190.9059999999999</v>
      </c>
      <c r="E49" s="2">
        <v>2186.0799439643602</v>
      </c>
      <c r="F49" s="4" cm="1">
        <f t="array" ref="F49">[1]!Perc_Diff(D49,C49)</f>
        <v>1.6923965454017555E-3</v>
      </c>
      <c r="G49" s="4" cm="1">
        <f t="array" ref="G49">[1]!Perc_Diff(E49,C49)</f>
        <v>-5.1149743769756924E-4</v>
      </c>
      <c r="H49" s="5">
        <v>0.98717066729289893</v>
      </c>
      <c r="I49" s="6">
        <v>0.99394660704948989</v>
      </c>
    </row>
    <row r="50" spans="1:9" x14ac:dyDescent="0.3">
      <c r="A50">
        <v>49</v>
      </c>
      <c r="B50" s="1" t="s">
        <v>51</v>
      </c>
      <c r="C50" s="2">
        <v>1031.6262794602701</v>
      </c>
      <c r="D50" s="2">
        <v>1026.5609999999999</v>
      </c>
      <c r="E50" s="2">
        <v>1029.1415585494899</v>
      </c>
      <c r="F50" s="4" cm="1">
        <f t="array" ref="F50">[1]!Perc_Diff(D50,C50)</f>
        <v>-4.9342216003434537E-3</v>
      </c>
      <c r="G50" s="4" cm="1">
        <f t="array" ref="G50">[1]!Perc_Diff(E50,C50)</f>
        <v>-2.4143626210977767E-3</v>
      </c>
      <c r="H50" s="5">
        <v>0.97881416203580995</v>
      </c>
      <c r="I50" s="6">
        <v>0.99427152247664763</v>
      </c>
    </row>
    <row r="51" spans="1:9" x14ac:dyDescent="0.3">
      <c r="A51">
        <v>50</v>
      </c>
      <c r="B51" s="1" t="s">
        <v>52</v>
      </c>
      <c r="C51" s="2">
        <v>1369.03057216819</v>
      </c>
      <c r="D51" s="2">
        <v>1332.106</v>
      </c>
      <c r="E51" s="2">
        <v>1532.26711365799</v>
      </c>
      <c r="F51" s="4" cm="1">
        <f t="array" ref="F51">[1]!Perc_Diff(D51,C51)</f>
        <v>-2.7718944414476043E-2</v>
      </c>
      <c r="G51" s="4" cm="1">
        <f t="array" ref="G51">[1]!Perc_Diff(E51,C51)</f>
        <v>0.1065326926583345</v>
      </c>
      <c r="H51" s="5">
        <v>0.93332691492332409</v>
      </c>
      <c r="I51" s="6">
        <v>0.99233714603946332</v>
      </c>
    </row>
    <row r="52" spans="1:9" x14ac:dyDescent="0.3">
      <c r="A52">
        <v>51</v>
      </c>
      <c r="B52" s="1" t="s">
        <v>53</v>
      </c>
      <c r="C52" s="2">
        <v>62.119202966032098</v>
      </c>
      <c r="D52" s="2">
        <v>49.790999999999997</v>
      </c>
      <c r="E52" s="2">
        <v>52.156263785078899</v>
      </c>
      <c r="F52" s="4" cm="1">
        <f t="array" ref="F52">[1]!Perc_Diff(D52,C52)</f>
        <v>-0.24759902323777594</v>
      </c>
      <c r="G52" s="4" cm="1">
        <f t="array" ref="G52">[1]!Perc_Diff(E52,C52)</f>
        <v>-0.19102095238277866</v>
      </c>
      <c r="H52" s="5">
        <v>0.99143716302697171</v>
      </c>
      <c r="I52" s="6">
        <v>0.99860908646334179</v>
      </c>
    </row>
    <row r="53" spans="1:9" x14ac:dyDescent="0.3">
      <c r="A53">
        <v>52</v>
      </c>
      <c r="B53" s="1" t="s">
        <v>54</v>
      </c>
      <c r="C53" s="2">
        <v>126.09763881560301</v>
      </c>
      <c r="D53" s="2">
        <v>125.617</v>
      </c>
      <c r="E53" s="2">
        <v>125.160382532095</v>
      </c>
      <c r="F53" s="4" cm="1">
        <f t="array" ref="F53">[1]!Perc_Diff(D53,C53)</f>
        <v>-3.8262242817691952E-3</v>
      </c>
      <c r="G53" s="4" cm="1">
        <f t="array" ref="G53">[1]!Perc_Diff(E53,C53)</f>
        <v>-7.4884421455620308E-3</v>
      </c>
      <c r="H53" s="5">
        <v>0.90437030080759406</v>
      </c>
      <c r="I53" s="6">
        <v>0.97594173321094113</v>
      </c>
    </row>
    <row r="54" spans="1:9" x14ac:dyDescent="0.3">
      <c r="A54">
        <v>53</v>
      </c>
      <c r="B54" s="1" t="s">
        <v>55</v>
      </c>
      <c r="C54" s="2">
        <v>2885.6995773697899</v>
      </c>
      <c r="D54" s="2">
        <v>7.0000000000000001E-3</v>
      </c>
      <c r="E54" s="2">
        <v>2891.8578568510202</v>
      </c>
      <c r="F54" s="4" cm="1">
        <f t="array" ref="F54">[1]!Perc_Diff(D54,C54)</f>
        <v>-412241.79676711286</v>
      </c>
      <c r="G54" s="4" cm="1">
        <f t="array" ref="G54">[1]!Perc_Diff(E54,C54)</f>
        <v>2.1295235748329845E-3</v>
      </c>
      <c r="H54" s="5">
        <v>0.988178129391312</v>
      </c>
      <c r="I54" s="6">
        <v>0.99746323027456918</v>
      </c>
    </row>
    <row r="55" spans="1:9" x14ac:dyDescent="0.3">
      <c r="A55">
        <v>54</v>
      </c>
      <c r="B55" s="1" t="s">
        <v>56</v>
      </c>
      <c r="C55" s="2">
        <v>927.67845472319402</v>
      </c>
      <c r="D55" s="2">
        <v>926.53899999999999</v>
      </c>
      <c r="E55" s="2">
        <v>1069.10302677543</v>
      </c>
      <c r="F55" s="4" cm="1">
        <f t="array" ref="F55">[1]!Perc_Diff(D55,C55)</f>
        <v>-1.2297968279738199E-3</v>
      </c>
      <c r="G55" s="4" cm="1">
        <f t="array" ref="G55">[1]!Perc_Diff(E55,C55)</f>
        <v>0.13228338944918433</v>
      </c>
      <c r="H55" s="5">
        <v>0.56848481672854501</v>
      </c>
      <c r="I55" s="6">
        <v>0.98465858665461192</v>
      </c>
    </row>
    <row r="56" spans="1:9" x14ac:dyDescent="0.3">
      <c r="A56" t="s">
        <v>124</v>
      </c>
      <c r="B56" s="1" t="s">
        <v>57</v>
      </c>
      <c r="C56" s="2">
        <v>59.192570965161998</v>
      </c>
      <c r="D56" s="2">
        <v>58.921999999999997</v>
      </c>
      <c r="E56" s="2">
        <v>58.760190311183997</v>
      </c>
      <c r="F56" s="4" cm="1">
        <f t="array" ref="F56">[1]!Perc_Diff(D56,C56)</f>
        <v>-4.592019367333105E-3</v>
      </c>
      <c r="G56" s="4" cm="1">
        <f t="array" ref="G56">[1]!Perc_Diff(E56,C56)</f>
        <v>-7.3583943770125027E-3</v>
      </c>
      <c r="H56" s="5">
        <v>0.90433052204531073</v>
      </c>
      <c r="I56" s="6">
        <v>0.99323658097733325</v>
      </c>
    </row>
    <row r="57" spans="1:9" x14ac:dyDescent="0.3">
      <c r="A57">
        <v>56</v>
      </c>
      <c r="B57" s="1" t="s">
        <v>58</v>
      </c>
      <c r="C57" s="2">
        <v>16073.739956002401</v>
      </c>
      <c r="D57" s="2">
        <v>0.40200000000000002</v>
      </c>
      <c r="E57" s="2">
        <v>16045.3608464517</v>
      </c>
      <c r="F57" s="4" cm="1">
        <f t="array" ref="F57">[1]!Perc_Diff(D57,C57)</f>
        <v>-39983.42775124975</v>
      </c>
      <c r="G57" s="4" cm="1">
        <f t="array" ref="G57">[1]!Perc_Diff(E57,C57)</f>
        <v>-1.7686800454211153E-3</v>
      </c>
      <c r="H57" s="5">
        <v>0.97016513123625892</v>
      </c>
      <c r="I57" s="6">
        <v>0.98489911838142441</v>
      </c>
    </row>
    <row r="58" spans="1:9" x14ac:dyDescent="0.3">
      <c r="A58">
        <v>57</v>
      </c>
      <c r="B58" s="1" t="s">
        <v>59</v>
      </c>
      <c r="C58" s="2">
        <v>13787.8727639679</v>
      </c>
      <c r="D58" s="2">
        <v>13786.35</v>
      </c>
      <c r="E58" s="2">
        <v>13787.435439635599</v>
      </c>
      <c r="F58" s="4" cm="1">
        <f t="array" ref="F58">[1]!Perc_Diff(D58,C58)</f>
        <v>-1.104544689420814E-4</v>
      </c>
      <c r="G58" s="4" cm="1">
        <f t="array" ref="G58">[1]!Perc_Diff(E58,C58)</f>
        <v>-3.1719048420237823E-5</v>
      </c>
      <c r="H58" s="5">
        <v>0.97198015142073357</v>
      </c>
      <c r="I58" s="6">
        <v>1.1689658513573754E-4</v>
      </c>
    </row>
    <row r="59" spans="1:9" x14ac:dyDescent="0.3">
      <c r="A59">
        <v>58</v>
      </c>
      <c r="B59" s="1" t="s">
        <v>60</v>
      </c>
      <c r="C59" s="2">
        <v>43599.051204700001</v>
      </c>
      <c r="D59" s="2">
        <v>45476.995000000003</v>
      </c>
      <c r="E59" s="2">
        <v>50380.626938827598</v>
      </c>
      <c r="F59" s="4" cm="1">
        <f t="array" ref="F59">[1]!Perc_Diff(D59,C59)</f>
        <v>4.1294368620881865E-2</v>
      </c>
      <c r="G59" s="4" cm="1">
        <f t="array" ref="G59">[1]!Perc_Diff(E59,C59)</f>
        <v>0.13460681508314334</v>
      </c>
      <c r="H59" s="5">
        <v>0.98826895037779561</v>
      </c>
      <c r="I59" s="6">
        <v>0.96892866505292807</v>
      </c>
    </row>
    <row r="60" spans="1:9" x14ac:dyDescent="0.3">
      <c r="A60">
        <v>59</v>
      </c>
      <c r="B60" s="1" t="s">
        <v>61</v>
      </c>
      <c r="C60" s="2">
        <v>7599.4857834327604</v>
      </c>
      <c r="D60" s="2">
        <v>8709.3940000000002</v>
      </c>
      <c r="E60" s="2">
        <v>9678.6358995541796</v>
      </c>
      <c r="F60" s="4" cm="1">
        <f t="array" ref="F60">[1]!Perc_Diff(D60,C60)</f>
        <v>0.12743805327526114</v>
      </c>
      <c r="G60" s="4" cm="1">
        <f t="array" ref="G60">[1]!Perc_Diff(E60,C60)</f>
        <v>0.21481850724616985</v>
      </c>
      <c r="H60" s="5">
        <v>0.97325841908956001</v>
      </c>
      <c r="I60" s="6">
        <v>5.2868335269536146E-8</v>
      </c>
    </row>
    <row r="61" spans="1:9" x14ac:dyDescent="0.3">
      <c r="A61">
        <v>60</v>
      </c>
      <c r="B61" s="1" t="s">
        <v>62</v>
      </c>
      <c r="C61" s="2">
        <v>2297.9099564878202</v>
      </c>
      <c r="D61" s="2">
        <v>2293.4659999999999</v>
      </c>
      <c r="E61" s="2">
        <v>2293.2097651139902</v>
      </c>
      <c r="F61" s="4" cm="1">
        <f t="array" ref="F61">[1]!Perc_Diff(D61,C61)</f>
        <v>-1.9376596329835662E-3</v>
      </c>
      <c r="G61" s="4" cm="1">
        <f t="array" ref="G61">[1]!Perc_Diff(E61,C61)</f>
        <v>-2.049612488718986E-3</v>
      </c>
      <c r="H61" s="5">
        <v>0.96401700908620602</v>
      </c>
      <c r="I61" s="6">
        <v>0.99425642786729218</v>
      </c>
    </row>
    <row r="62" spans="1:9" x14ac:dyDescent="0.3">
      <c r="A62">
        <v>61</v>
      </c>
      <c r="B62" s="1" t="s">
        <v>63</v>
      </c>
      <c r="C62" s="2">
        <v>3686.16716976204</v>
      </c>
      <c r="D62" s="2">
        <v>3702.0889999999999</v>
      </c>
      <c r="E62" s="2">
        <v>3702.2865902682001</v>
      </c>
      <c r="F62" s="4" cm="1">
        <f t="array" ref="F62">[1]!Perc_Diff(D62,C62)</f>
        <v>4.3007691705844904E-3</v>
      </c>
      <c r="G62" s="4" cm="1">
        <f t="array" ref="G62">[1]!Perc_Diff(E62,C62)</f>
        <v>4.3539094322226548E-3</v>
      </c>
      <c r="H62" s="5">
        <v>0.85267814778852424</v>
      </c>
      <c r="I62" s="6">
        <v>0.93334472693652182</v>
      </c>
    </row>
    <row r="63" spans="1:9" x14ac:dyDescent="0.3">
      <c r="A63">
        <v>62</v>
      </c>
      <c r="B63" s="1" t="s">
        <v>64</v>
      </c>
      <c r="C63" s="2">
        <v>225.233377099987</v>
      </c>
      <c r="D63" s="2">
        <v>220.14699999999999</v>
      </c>
      <c r="E63" s="2">
        <v>220.339135801878</v>
      </c>
      <c r="F63" s="4" cm="1">
        <f t="array" ref="F63">[1]!Perc_Diff(D63,C63)</f>
        <v>-2.3104457930323848E-2</v>
      </c>
      <c r="G63" s="4" cm="1">
        <f t="array" ref="G63">[1]!Perc_Diff(E63,C63)</f>
        <v>-2.2212310492629606E-2</v>
      </c>
      <c r="H63" s="5">
        <v>0.99868545888472249</v>
      </c>
      <c r="I63" s="6">
        <v>3.4730065558327613E-4</v>
      </c>
    </row>
    <row r="64" spans="1:9" x14ac:dyDescent="0.3">
      <c r="A64">
        <v>63</v>
      </c>
      <c r="B64" s="1" t="s">
        <v>65</v>
      </c>
      <c r="C64" s="2">
        <v>1027.1574502050901</v>
      </c>
      <c r="D64" s="2">
        <v>1022.266</v>
      </c>
      <c r="E64" s="2">
        <v>1021.2558257212399</v>
      </c>
      <c r="F64" s="4" cm="1">
        <f t="array" ref="F64">[1]!Perc_Diff(D64,C64)</f>
        <v>-4.784909412119849E-3</v>
      </c>
      <c r="G64" s="4" cm="1">
        <f t="array" ref="G64">[1]!Perc_Diff(E64,C64)</f>
        <v>-5.7787914988707487E-3</v>
      </c>
      <c r="H64" s="5">
        <v>0.96180019930872629</v>
      </c>
      <c r="I64" s="6">
        <v>0.99723067027753176</v>
      </c>
    </row>
    <row r="65" spans="1:9" x14ac:dyDescent="0.3">
      <c r="A65">
        <v>64</v>
      </c>
      <c r="B65" s="1" t="s">
        <v>66</v>
      </c>
      <c r="C65" s="2">
        <v>58160.603018481997</v>
      </c>
      <c r="D65" s="2">
        <v>0.38800000000000001</v>
      </c>
      <c r="E65" s="2">
        <v>63596.005750144999</v>
      </c>
      <c r="F65" s="4" cm="1">
        <f t="array" ref="F65">[1]!Perc_Diff(D65,C65)</f>
        <v>-149897.46138784019</v>
      </c>
      <c r="G65" s="4" cm="1">
        <f t="array" ref="G65">[1]!Perc_Diff(E65,C65)</f>
        <v>8.5467674699847146E-2</v>
      </c>
      <c r="H65" s="5">
        <v>0.88261302658267726</v>
      </c>
      <c r="I65" s="6">
        <v>0.99588463723982901</v>
      </c>
    </row>
    <row r="66" spans="1:9" x14ac:dyDescent="0.3">
      <c r="A66">
        <v>65</v>
      </c>
      <c r="B66" s="1" t="s">
        <v>67</v>
      </c>
      <c r="C66" s="2">
        <v>306.13703930886902</v>
      </c>
      <c r="D66" s="2">
        <v>302.79199999999997</v>
      </c>
      <c r="E66" s="2">
        <v>335.87607539127998</v>
      </c>
      <c r="F66" s="4" cm="1">
        <f t="array" ref="F66">[1]!Perc_Diff(D66,C66)</f>
        <v>-1.1047317329615869E-2</v>
      </c>
      <c r="G66" s="4" cm="1">
        <f t="array" ref="G66">[1]!Perc_Diff(E66,C66)</f>
        <v>8.8541692193367355E-2</v>
      </c>
      <c r="H66" s="5">
        <v>0.99390922046981334</v>
      </c>
      <c r="I66" s="6">
        <v>0.99588743517364575</v>
      </c>
    </row>
    <row r="67" spans="1:9" x14ac:dyDescent="0.3">
      <c r="A67">
        <v>66</v>
      </c>
      <c r="B67" s="1" t="s">
        <v>68</v>
      </c>
      <c r="C67" s="2">
        <v>14096.116608721601</v>
      </c>
      <c r="D67" s="2">
        <v>14113.865</v>
      </c>
      <c r="E67" s="2">
        <v>14102.164748793901</v>
      </c>
      <c r="F67" s="4" cm="1">
        <f t="array" ref="F67">[1]!Perc_Diff(D67,C67)</f>
        <v>1.2575145984745596E-3</v>
      </c>
      <c r="G67" s="4" cm="1">
        <f t="array" ref="G67">[1]!Perc_Diff(E67,C67)</f>
        <v>4.288802591685386E-4</v>
      </c>
      <c r="H67" s="5">
        <v>0.99055349854120789</v>
      </c>
      <c r="I67" s="6">
        <v>0.99345355081304942</v>
      </c>
    </row>
    <row r="68" spans="1:9" x14ac:dyDescent="0.3">
      <c r="A68">
        <v>67</v>
      </c>
      <c r="B68" s="1" t="s">
        <v>69</v>
      </c>
      <c r="C68" s="2">
        <v>3535.4127030458499</v>
      </c>
      <c r="D68" s="2">
        <v>3535.6529999999998</v>
      </c>
      <c r="E68" s="2">
        <v>3535.3203298766798</v>
      </c>
      <c r="F68" s="4" cm="1">
        <f t="array" ref="F68">[1]!Perc_Diff(D68,C68)</f>
        <v>6.796395295294137E-5</v>
      </c>
      <c r="G68" s="4" cm="1">
        <f t="array" ref="G68">[1]!Perc_Diff(E68,C68)</f>
        <v>-2.6128656119057178E-5</v>
      </c>
      <c r="H68" s="5">
        <v>0.99389069221171511</v>
      </c>
      <c r="I68" s="6">
        <v>0.99810271909683101</v>
      </c>
    </row>
    <row r="69" spans="1:9" x14ac:dyDescent="0.3">
      <c r="A69">
        <v>68</v>
      </c>
      <c r="B69" s="1" t="s">
        <v>70</v>
      </c>
      <c r="C69" s="2">
        <v>1249847.5746633499</v>
      </c>
      <c r="D69" s="2">
        <v>1.7999999999999999E-2</v>
      </c>
      <c r="E69" s="2">
        <v>1279916.4500333299</v>
      </c>
      <c r="F69" s="4">
        <f>[1]!Perc_Diff(D69,C69)</f>
        <v>-69435975.37018612</v>
      </c>
      <c r="G69" s="4" cm="1">
        <f t="array" ref="G69">[1]!Perc_Diff(E69,C69)</f>
        <v>2.3492842340761374E-2</v>
      </c>
      <c r="H69" s="5">
        <v>0.97619458331844056</v>
      </c>
      <c r="I69" s="6">
        <v>0.99579553526443432</v>
      </c>
    </row>
    <row r="70" spans="1:9" x14ac:dyDescent="0.3">
      <c r="A70">
        <v>69</v>
      </c>
      <c r="B70" s="1" t="s">
        <v>71</v>
      </c>
      <c r="C70" s="2">
        <v>4760.34728235885</v>
      </c>
      <c r="D70" s="2">
        <v>4756.0469999999996</v>
      </c>
      <c r="E70" s="2">
        <v>4855.2975338101696</v>
      </c>
      <c r="F70" s="4" cm="1">
        <f t="array" ref="F70">[1]!Perc_Diff(D70,C70)</f>
        <v>-9.0417154389987777E-4</v>
      </c>
      <c r="G70" s="4" cm="1">
        <f t="array" ref="G70">[1]!Perc_Diff(E70,C70)</f>
        <v>1.9556010891222962E-2</v>
      </c>
      <c r="H70" s="5">
        <v>0.85246998905586446</v>
      </c>
      <c r="I70" s="6">
        <v>0.94553360969371469</v>
      </c>
    </row>
    <row r="71" spans="1:9" x14ac:dyDescent="0.3">
      <c r="A71">
        <v>70</v>
      </c>
      <c r="B71" s="1" t="s">
        <v>72</v>
      </c>
      <c r="C71" s="2">
        <v>3245.2444206629598</v>
      </c>
      <c r="D71" s="2">
        <v>3235.9119999999998</v>
      </c>
      <c r="E71" s="2">
        <v>3227.9060419320899</v>
      </c>
      <c r="F71" s="4" cm="1">
        <f t="array" ref="F71">[1]!Perc_Diff(D71,C71)</f>
        <v>-2.8840155921916223E-3</v>
      </c>
      <c r="G71" s="4" cm="1">
        <f t="array" ref="G71">[1]!Perc_Diff(E71,C71)</f>
        <v>-5.3714013064927483E-3</v>
      </c>
      <c r="H71" s="5">
        <v>0.83892969372138981</v>
      </c>
      <c r="I71" s="6">
        <v>0.73644151195536511</v>
      </c>
    </row>
    <row r="72" spans="1:9" x14ac:dyDescent="0.3">
      <c r="A72">
        <v>71</v>
      </c>
      <c r="B72" s="1" t="s">
        <v>73</v>
      </c>
      <c r="C72" s="2">
        <v>1111.20549871859</v>
      </c>
      <c r="D72" s="2">
        <v>20.37</v>
      </c>
      <c r="E72" s="2">
        <v>1139.33071216645</v>
      </c>
      <c r="F72" s="4" cm="1">
        <f t="array" ref="F72">[1]!Perc_Diff(D72,C72)</f>
        <v>-53.55107995673</v>
      </c>
      <c r="G72" s="4" cm="1">
        <f t="array" ref="G72">[1]!Perc_Diff(E72,C72)</f>
        <v>2.4685732726698467E-2</v>
      </c>
      <c r="H72" s="5">
        <v>0.98791824598559452</v>
      </c>
      <c r="I72" s="6">
        <v>0.97910953764960484</v>
      </c>
    </row>
    <row r="73" spans="1:9" x14ac:dyDescent="0.3">
      <c r="A73">
        <v>72</v>
      </c>
      <c r="B73" s="1" t="s">
        <v>74</v>
      </c>
      <c r="C73" s="2">
        <v>16474.2680639426</v>
      </c>
      <c r="D73" s="2">
        <v>17555.812000000002</v>
      </c>
      <c r="E73" s="2">
        <v>17403.403084639802</v>
      </c>
      <c r="F73" s="4" cm="1">
        <f t="array" ref="F73">[1]!Perc_Diff(D73,C73)</f>
        <v>6.1606033150582939E-2</v>
      </c>
      <c r="G73" s="4" cm="1">
        <f t="array" ref="G73">[1]!Perc_Diff(E73,C73)</f>
        <v>5.3388122781414755E-2</v>
      </c>
      <c r="H73" s="5">
        <v>0.98915847071584861</v>
      </c>
      <c r="I73" s="6">
        <v>0.99244452548294193</v>
      </c>
    </row>
    <row r="74" spans="1:9" x14ac:dyDescent="0.3">
      <c r="A74">
        <v>73</v>
      </c>
      <c r="B74" s="1" t="s">
        <v>75</v>
      </c>
      <c r="C74" s="2">
        <v>1318.38368705516</v>
      </c>
      <c r="D74" s="2">
        <v>1318.251</v>
      </c>
      <c r="E74" s="2">
        <v>1319.64376036825</v>
      </c>
      <c r="F74" s="4" cm="1">
        <f t="array" ref="F74">[1]!Perc_Diff(D74,C74)</f>
        <v>-1.0065386270139512E-4</v>
      </c>
      <c r="G74" s="4" cm="1">
        <f t="array" ref="G74">[1]!Perc_Diff(E74,C74)</f>
        <v>9.5485869060482967E-4</v>
      </c>
      <c r="H74" s="5">
        <v>0.87736139276009983</v>
      </c>
      <c r="I74" s="6">
        <v>0.93625500492410263</v>
      </c>
    </row>
    <row r="75" spans="1:9" x14ac:dyDescent="0.3">
      <c r="A75">
        <v>74</v>
      </c>
      <c r="B75" s="1" t="s">
        <v>76</v>
      </c>
      <c r="C75" s="2">
        <v>32302.875286681399</v>
      </c>
      <c r="D75" s="2">
        <v>32315.555</v>
      </c>
      <c r="E75" s="2">
        <v>32938.580401989799</v>
      </c>
      <c r="F75" s="4" cm="1">
        <f t="array" ref="F75">[1]!Perc_Diff(D75,C75)</f>
        <v>3.9237182584674746E-4</v>
      </c>
      <c r="G75" s="4" cm="1">
        <f t="array" ref="G75">[1]!Perc_Diff(E75,C75)</f>
        <v>1.9299711995784639E-2</v>
      </c>
      <c r="H75" s="5">
        <v>0.99047999192872749</v>
      </c>
      <c r="I75" s="6">
        <v>0.99517695819373031</v>
      </c>
    </row>
    <row r="76" spans="1:9" x14ac:dyDescent="0.3">
      <c r="A76">
        <v>75</v>
      </c>
      <c r="B76" s="1" t="s">
        <v>77</v>
      </c>
      <c r="C76" s="2">
        <v>37418.505558058299</v>
      </c>
      <c r="D76" s="2">
        <v>0.35599999999999998</v>
      </c>
      <c r="E76" s="2">
        <v>38203.809628956602</v>
      </c>
      <c r="F76" s="4" cm="1">
        <f t="array" ref="F76">[1]!Perc_Diff(D76,C76)</f>
        <v>-105107.16167993905</v>
      </c>
      <c r="G76" s="4" cm="1">
        <f t="array" ref="G76">[1]!Perc_Diff(E76,C76)</f>
        <v>2.0555648206954755E-2</v>
      </c>
      <c r="H76" s="5">
        <v>0.98258495921911515</v>
      </c>
      <c r="I76" s="6">
        <v>0.99437204390230094</v>
      </c>
    </row>
    <row r="77" spans="1:9" x14ac:dyDescent="0.3">
      <c r="A77">
        <v>76</v>
      </c>
      <c r="B77" s="1" t="s">
        <v>78</v>
      </c>
      <c r="C77" s="2">
        <v>627.44083885285602</v>
      </c>
      <c r="D77" s="2">
        <v>625.25900000000001</v>
      </c>
      <c r="E77" s="2">
        <v>651.73071464418501</v>
      </c>
      <c r="F77" s="4" cm="1">
        <f t="array" ref="F77">[1]!Perc_Diff(D77,C77)</f>
        <v>-3.4894961173785638E-3</v>
      </c>
      <c r="G77" s="4" cm="1">
        <f t="array" ref="G77">[1]!Perc_Diff(E77,C77)</f>
        <v>3.7269803686619481E-2</v>
      </c>
      <c r="H77" s="5">
        <v>0.94569153680543871</v>
      </c>
      <c r="I77" s="6">
        <v>3.7848688495684332E-6</v>
      </c>
    </row>
    <row r="78" spans="1:9" x14ac:dyDescent="0.3">
      <c r="A78">
        <v>77</v>
      </c>
      <c r="B78" s="1" t="s">
        <v>79</v>
      </c>
      <c r="C78" s="2">
        <v>445.29239349718603</v>
      </c>
      <c r="D78" s="2">
        <v>445.92099999999999</v>
      </c>
      <c r="E78" s="2">
        <v>864.41100316707298</v>
      </c>
      <c r="F78" s="4" cm="1">
        <f t="array" ref="F78">[1]!Perc_Diff(D78,C78)</f>
        <v>1.4096813175741129E-3</v>
      </c>
      <c r="G78" s="4" cm="1">
        <f t="array" ref="G78">[1]!Perc_Diff(E78,C78)</f>
        <v>0.48486033626862557</v>
      </c>
      <c r="H78" s="5">
        <v>0.96268335956890738</v>
      </c>
      <c r="I78" s="6">
        <v>0.99758580909211159</v>
      </c>
    </row>
    <row r="79" spans="1:9" x14ac:dyDescent="0.3">
      <c r="A79">
        <v>78</v>
      </c>
      <c r="B79" s="1" t="s">
        <v>80</v>
      </c>
      <c r="C79" s="2">
        <v>1978.8571862112101</v>
      </c>
      <c r="D79" s="2">
        <v>2166.9389999999999</v>
      </c>
      <c r="E79" s="2">
        <v>2118.3099475403101</v>
      </c>
      <c r="F79" s="4" cm="1">
        <f t="array" ref="F79">[1]!Perc_Diff(D79,C79)</f>
        <v>8.6796081379674178E-2</v>
      </c>
      <c r="G79" s="4" cm="1">
        <f t="array" ref="G79">[1]!Perc_Diff(E79,C79)</f>
        <v>6.5832085380624544E-2</v>
      </c>
      <c r="H79" s="5">
        <v>0.99101747756823733</v>
      </c>
      <c r="I79" s="6">
        <v>0.97858315520313899</v>
      </c>
    </row>
    <row r="80" spans="1:9" x14ac:dyDescent="0.3">
      <c r="A80">
        <v>79</v>
      </c>
      <c r="B80" s="1" t="s">
        <v>81</v>
      </c>
      <c r="C80" s="2">
        <v>1691.13425740517</v>
      </c>
      <c r="D80" s="2">
        <v>1686.6849999999999</v>
      </c>
      <c r="E80" s="2">
        <v>1686.69949007985</v>
      </c>
      <c r="F80" s="4" cm="1">
        <f t="array" ref="F80">[1]!Perc_Diff(D80,C80)</f>
        <v>-2.6378709748234564E-3</v>
      </c>
      <c r="G80" s="4" cm="1">
        <f t="array" ref="G80">[1]!Perc_Diff(E80,C80)</f>
        <v>-2.6292575241782606E-3</v>
      </c>
      <c r="H80" s="5">
        <v>0.93002983604035838</v>
      </c>
      <c r="I80" s="6">
        <v>0.95321605449519342</v>
      </c>
    </row>
    <row r="81" spans="1:9" x14ac:dyDescent="0.3">
      <c r="A81">
        <v>80</v>
      </c>
      <c r="B81" s="1" t="s">
        <v>82</v>
      </c>
      <c r="C81" s="2">
        <v>9454.5903513894391</v>
      </c>
      <c r="D81" s="2">
        <v>9429.4570000000003</v>
      </c>
      <c r="E81" s="2">
        <v>9426.7855531035402</v>
      </c>
      <c r="F81" s="4" cm="1">
        <f t="array" ref="F81">[1]!Perc_Diff(D81,C81)</f>
        <v>-2.6654081342582883E-3</v>
      </c>
      <c r="G81" s="4" cm="1">
        <f t="array" ref="G81">[1]!Perc_Diff(E81,C81)</f>
        <v>-2.9495524353733509E-3</v>
      </c>
      <c r="H81" s="5">
        <v>0.89917873885579724</v>
      </c>
      <c r="I81" s="6">
        <v>0.99584724488827825</v>
      </c>
    </row>
    <row r="82" spans="1:9" x14ac:dyDescent="0.3">
      <c r="A82">
        <v>81</v>
      </c>
      <c r="B82" s="1" t="s">
        <v>83</v>
      </c>
      <c r="C82" s="2">
        <v>13760.512279521899</v>
      </c>
      <c r="D82" s="2">
        <v>13749.691999999999</v>
      </c>
      <c r="E82" s="2">
        <v>13750.832017987799</v>
      </c>
      <c r="F82" s="4" cm="1">
        <f t="array" ref="F82">[1]!Perc_Diff(D82,C82)</f>
        <v>-7.8694704738843429E-4</v>
      </c>
      <c r="G82" s="4" cm="1">
        <f t="array" ref="G82">[1]!Perc_Diff(E82,C82)</f>
        <v>-7.0397642276753109E-4</v>
      </c>
      <c r="H82" s="5">
        <v>0.65837279629769818</v>
      </c>
      <c r="I82" s="6">
        <v>0.86841277785979432</v>
      </c>
    </row>
    <row r="83" spans="1:9" x14ac:dyDescent="0.3">
      <c r="A83">
        <v>82</v>
      </c>
      <c r="B83" s="1" t="s">
        <v>84</v>
      </c>
      <c r="C83" s="2">
        <v>18572.4069781697</v>
      </c>
      <c r="D83" s="2">
        <v>18572.004000000001</v>
      </c>
      <c r="E83" s="2">
        <v>18562.454958512099</v>
      </c>
      <c r="F83" s="4" cm="1">
        <f t="array" ref="F83">[1]!Perc_Diff(D83,C83)</f>
        <v>-2.1698152213355863E-5</v>
      </c>
      <c r="G83" s="4" cm="1">
        <f t="array" ref="G83">[1]!Perc_Diff(E83,C83)</f>
        <v>-5.3613704005448317E-4</v>
      </c>
      <c r="H83" s="5">
        <v>8.6173368730368322E-2</v>
      </c>
      <c r="I83" s="6">
        <v>0.86892507130435614</v>
      </c>
    </row>
    <row r="84" spans="1:9" x14ac:dyDescent="0.3">
      <c r="A84">
        <v>83</v>
      </c>
      <c r="B84" s="1" t="s">
        <v>85</v>
      </c>
      <c r="C84" s="2">
        <v>99970.682261168506</v>
      </c>
      <c r="D84" s="2">
        <v>100012.476</v>
      </c>
      <c r="E84" s="2">
        <v>102672.15608878899</v>
      </c>
      <c r="F84" s="4" cm="1">
        <f t="array" ref="F84">[1]!Perc_Diff(D84,C84)</f>
        <v>4.1788525295073653E-4</v>
      </c>
      <c r="G84" s="4" cm="1">
        <f t="array" ref="G84">[1]!Perc_Diff(E84,C84)</f>
        <v>2.631164992078576E-2</v>
      </c>
      <c r="H84" s="5">
        <v>0.98652216918812419</v>
      </c>
      <c r="I84" s="6">
        <v>0.98688838023144787</v>
      </c>
    </row>
    <row r="85" spans="1:9" x14ac:dyDescent="0.3">
      <c r="A85">
        <v>84</v>
      </c>
      <c r="B85" s="1" t="s">
        <v>86</v>
      </c>
      <c r="C85" s="2">
        <v>629.27634547646403</v>
      </c>
      <c r="D85" s="2">
        <v>627.77499999999998</v>
      </c>
      <c r="E85" s="2">
        <v>624.36166158344997</v>
      </c>
      <c r="F85" s="4" cm="1">
        <f t="array" ref="F85">[1]!Perc_Diff(D85,C85)</f>
        <v>-2.3915343498292427E-3</v>
      </c>
      <c r="G85" s="4" cm="1">
        <f t="array" ref="G85">[1]!Perc_Diff(E85,C85)</f>
        <v>-7.8715337526488703E-3</v>
      </c>
      <c r="H85" s="5">
        <v>0.96763684357558466</v>
      </c>
      <c r="I85" s="6">
        <v>0.99379828567547934</v>
      </c>
    </row>
    <row r="86" spans="1:9" x14ac:dyDescent="0.3">
      <c r="A86">
        <v>85</v>
      </c>
      <c r="B86" s="1" t="s">
        <v>87</v>
      </c>
      <c r="C86" s="2">
        <v>19492.750986273801</v>
      </c>
      <c r="D86" s="2">
        <v>19467.077000000001</v>
      </c>
      <c r="E86" s="2">
        <v>19410.274978354901</v>
      </c>
      <c r="F86" s="4" cm="1">
        <f t="array" ref="F86">[1]!Perc_Diff(D86,C86)</f>
        <v>-1.3188413583507953E-3</v>
      </c>
      <c r="G86" s="4" cm="1">
        <f t="array" ref="G86">[1]!Perc_Diff(E86,C86)</f>
        <v>-4.2490901345226678E-3</v>
      </c>
      <c r="H86" s="5">
        <v>0.98095394327068475</v>
      </c>
      <c r="I86" s="6">
        <v>0.98641651275848419</v>
      </c>
    </row>
    <row r="87" spans="1:9" x14ac:dyDescent="0.3">
      <c r="A87">
        <v>86</v>
      </c>
      <c r="B87" s="1" t="s">
        <v>88</v>
      </c>
      <c r="C87" s="2">
        <v>870.15388184571805</v>
      </c>
      <c r="D87" s="2">
        <v>863.48199999999997</v>
      </c>
      <c r="E87" s="2">
        <v>860.668389368455</v>
      </c>
      <c r="F87" s="4" cm="1">
        <f t="array" ref="F87">[1]!Perc_Diff(D87,C87)</f>
        <v>-7.7267179231507738E-3</v>
      </c>
      <c r="G87" s="4" cm="1">
        <f t="array" ref="G87">[1]!Perc_Diff(E87,C87)</f>
        <v>-1.1021076868203975E-2</v>
      </c>
      <c r="H87" s="5">
        <v>0.98488547546767835</v>
      </c>
      <c r="I87" s="6">
        <v>0.37461870104808798</v>
      </c>
    </row>
    <row r="88" spans="1:9" x14ac:dyDescent="0.3">
      <c r="A88">
        <v>87</v>
      </c>
      <c r="B88" s="1" t="s">
        <v>89</v>
      </c>
      <c r="C88" s="2">
        <v>989.98472829126194</v>
      </c>
      <c r="D88" s="2">
        <v>975.74400000000003</v>
      </c>
      <c r="E88" s="2">
        <v>976.61149676325101</v>
      </c>
      <c r="F88" s="4" cm="1">
        <f t="array" ref="F88">[1]!Perc_Diff(D88,C88)</f>
        <v>-1.4594738262558537E-2</v>
      </c>
      <c r="G88" s="4" cm="1">
        <f t="array" ref="G88">[1]!Perc_Diff(E88,C88)</f>
        <v>-1.3693502044910757E-2</v>
      </c>
      <c r="H88" s="5">
        <v>0.59043061521783879</v>
      </c>
      <c r="I88" s="6">
        <v>0.97906112653596733</v>
      </c>
    </row>
    <row r="89" spans="1:9" x14ac:dyDescent="0.3">
      <c r="A89">
        <v>88</v>
      </c>
      <c r="B89" s="1" t="s">
        <v>90</v>
      </c>
      <c r="C89" s="2">
        <v>924.20696344619</v>
      </c>
      <c r="D89" s="2">
        <v>1.2E-2</v>
      </c>
      <c r="E89" s="2">
        <v>929.12913121559598</v>
      </c>
      <c r="F89" s="4" cm="1">
        <f t="array" ref="F89">[1]!Perc_Diff(D89,C89)</f>
        <v>-77016.246953849171</v>
      </c>
      <c r="G89" s="4" cm="1">
        <f t="array" ref="G89">[1]!Perc_Diff(E89,C89)</f>
        <v>5.2976142971281233E-3</v>
      </c>
      <c r="H89" s="5">
        <v>0.94895797298449835</v>
      </c>
      <c r="I89" s="6">
        <v>0.9707013964097837</v>
      </c>
    </row>
    <row r="90" spans="1:9" x14ac:dyDescent="0.3">
      <c r="A90">
        <v>89</v>
      </c>
      <c r="B90" s="1" t="s">
        <v>91</v>
      </c>
      <c r="C90" s="2">
        <v>831.19296781604999</v>
      </c>
      <c r="D90" s="2">
        <v>829.18100000000004</v>
      </c>
      <c r="E90" s="2">
        <v>826.96045548015798</v>
      </c>
      <c r="F90" s="4" cm="1">
        <f t="array" ref="F90">[1]!Perc_Diff(D90,C90)</f>
        <v>-2.4264519038062209E-3</v>
      </c>
      <c r="G90" s="4" cm="1">
        <f t="array" ref="G90">[1]!Perc_Diff(E90,C90)</f>
        <v>-5.118155660096815E-3</v>
      </c>
      <c r="H90" s="5">
        <v>0.99287348094716033</v>
      </c>
      <c r="I90" s="6">
        <v>0.99367302788277101</v>
      </c>
    </row>
    <row r="91" spans="1:9" x14ac:dyDescent="0.3">
      <c r="A91">
        <v>90</v>
      </c>
      <c r="B91" s="1" t="s">
        <v>92</v>
      </c>
      <c r="C91" s="2">
        <v>5378.1283199917398</v>
      </c>
      <c r="D91" s="2">
        <v>5377.835</v>
      </c>
      <c r="E91" s="2">
        <v>5566.1908223758101</v>
      </c>
      <c r="F91" s="4" cm="1">
        <f t="array" ref="F91">[1]!Perc_Diff(D91,C91)</f>
        <v>-5.4542393312501404E-5</v>
      </c>
      <c r="G91" s="4" cm="1">
        <f t="array" ref="G91">[1]!Perc_Diff(E91,C91)</f>
        <v>3.3786571173246231E-2</v>
      </c>
      <c r="H91" s="5">
        <v>0.95834623373918526</v>
      </c>
      <c r="I91" s="6">
        <v>0.99449157952789657</v>
      </c>
    </row>
    <row r="92" spans="1:9" x14ac:dyDescent="0.3">
      <c r="A92">
        <v>91</v>
      </c>
      <c r="B92" s="1" t="s">
        <v>93</v>
      </c>
      <c r="C92" s="2">
        <v>2509.1564051201299</v>
      </c>
      <c r="D92" s="2">
        <v>2504.1010000000001</v>
      </c>
      <c r="E92" s="2">
        <v>2489.5442863010599</v>
      </c>
      <c r="F92" s="4" cm="1">
        <f t="array" ref="F92">[1]!Perc_Diff(D92,C92)</f>
        <v>-2.0188503259771719E-3</v>
      </c>
      <c r="G92" s="4" cm="1">
        <f t="array" ref="G92">[1]!Perc_Diff(E92,C92)</f>
        <v>-7.8777947140717518E-3</v>
      </c>
      <c r="H92" s="5">
        <v>0.89784874837617434</v>
      </c>
      <c r="I92" s="6">
        <v>0.99514434443832078</v>
      </c>
    </row>
    <row r="93" spans="1:9" x14ac:dyDescent="0.3">
      <c r="A93">
        <v>92</v>
      </c>
      <c r="B93" s="1" t="s">
        <v>94</v>
      </c>
      <c r="C93" s="2">
        <v>49579.891464503802</v>
      </c>
      <c r="D93" s="2">
        <v>51856.182999999997</v>
      </c>
      <c r="E93" s="2">
        <v>57830.885681966101</v>
      </c>
      <c r="F93" s="4" cm="1">
        <f t="array" ref="F93">[1]!Perc_Diff(D93,C93)</f>
        <v>4.3896241562866194E-2</v>
      </c>
      <c r="G93" s="4" cm="1">
        <f t="array" ref="G93">[1]!Perc_Diff(E93,C93)</f>
        <v>0.1426745262529375</v>
      </c>
      <c r="H93" s="5">
        <v>0.9817473296966992</v>
      </c>
      <c r="I93" s="6">
        <v>0.91983633850164814</v>
      </c>
    </row>
    <row r="94" spans="1:9" x14ac:dyDescent="0.3">
      <c r="A94">
        <v>93</v>
      </c>
      <c r="B94" s="1" t="s">
        <v>95</v>
      </c>
      <c r="C94" s="2">
        <v>7191.5889600389901</v>
      </c>
      <c r="D94" s="2">
        <v>7189.9539999999997</v>
      </c>
      <c r="E94" s="2">
        <v>7223.5903876232896</v>
      </c>
      <c r="F94" s="4" cm="1">
        <f t="array" ref="F94">[1]!Perc_Diff(D94,C94)</f>
        <v>-2.2739506247054672E-4</v>
      </c>
      <c r="G94" s="4" cm="1">
        <f t="array" ref="G94">[1]!Perc_Diff(E94,C94)</f>
        <v>4.4301276604955296E-3</v>
      </c>
      <c r="H94" s="5">
        <v>0.99226656171845462</v>
      </c>
      <c r="I94" s="6">
        <v>0.99659778173123059</v>
      </c>
    </row>
    <row r="95" spans="1:9" x14ac:dyDescent="0.3">
      <c r="A95">
        <v>94</v>
      </c>
      <c r="B95" s="1" t="s">
        <v>96</v>
      </c>
      <c r="C95" s="2">
        <v>829.97796641268803</v>
      </c>
      <c r="D95" s="2">
        <v>865.61300000000006</v>
      </c>
      <c r="E95" s="2">
        <v>850.93452633536197</v>
      </c>
      <c r="F95" s="4" cm="1">
        <f t="array" ref="F95">[1]!Perc_Diff(D95,C95)</f>
        <v>4.1167396500875128E-2</v>
      </c>
      <c r="G95" s="4" cm="1">
        <f t="array" ref="G95">[1]!Perc_Diff(E95,C95)</f>
        <v>2.4627699633866705E-2</v>
      </c>
      <c r="H95" s="5">
        <v>0.99490413834631319</v>
      </c>
      <c r="I95" s="6">
        <v>1.0174831640844095E-4</v>
      </c>
    </row>
    <row r="96" spans="1:9" x14ac:dyDescent="0.3">
      <c r="A96">
        <v>95</v>
      </c>
      <c r="B96" s="1" t="s">
        <v>97</v>
      </c>
      <c r="C96" s="2">
        <v>384.77301484190502</v>
      </c>
      <c r="D96" s="2">
        <v>3.9E-2</v>
      </c>
      <c r="E96" s="2">
        <v>382.95562072392102</v>
      </c>
      <c r="F96" s="4" cm="1">
        <f t="array" ref="F96">[1]!Perc_Diff(D96,C96)</f>
        <v>-9864.9747395360264</v>
      </c>
      <c r="G96" s="4" cm="1">
        <f t="array" ref="G96">[1]!Perc_Diff(E96,C96)</f>
        <v>-4.7457042530110764E-3</v>
      </c>
      <c r="H96" s="5">
        <v>7.275110865788156E-3</v>
      </c>
      <c r="I96" s="6">
        <v>0.94526623251079789</v>
      </c>
    </row>
    <row r="97" spans="1:9" x14ac:dyDescent="0.3">
      <c r="A97">
        <v>96</v>
      </c>
      <c r="B97" s="1" t="s">
        <v>98</v>
      </c>
      <c r="C97" s="2">
        <v>335.04731578508301</v>
      </c>
      <c r="D97" s="2">
        <v>326.78699999999998</v>
      </c>
      <c r="E97" s="2">
        <v>329.01272202194599</v>
      </c>
      <c r="F97" s="4" cm="1">
        <f t="array" ref="F97">[1]!Perc_Diff(D97,C97)</f>
        <v>-2.5277369617160528E-2</v>
      </c>
      <c r="G97" s="4" cm="1">
        <f t="array" ref="G97">[1]!Perc_Diff(E97,C97)</f>
        <v>-1.83415210392214E-2</v>
      </c>
      <c r="H97" s="5">
        <v>0.98517176849799137</v>
      </c>
      <c r="I97" s="6">
        <v>0.99212475306366077</v>
      </c>
    </row>
    <row r="98" spans="1:9" x14ac:dyDescent="0.3">
      <c r="A98">
        <v>97</v>
      </c>
      <c r="B98" s="1" t="s">
        <v>99</v>
      </c>
      <c r="C98" s="2">
        <v>88.190147893682607</v>
      </c>
      <c r="D98" s="2">
        <v>82.039000000000001</v>
      </c>
      <c r="E98" s="2">
        <v>81.798676980232898</v>
      </c>
      <c r="F98" s="4" cm="1">
        <f t="array" ref="F98">[1]!Perc_Diff(D98,C98)</f>
        <v>-7.4978338274267184E-2</v>
      </c>
      <c r="G98" s="4" cm="1">
        <f t="array" ref="G98">[1]!Perc_Diff(E98,C98)</f>
        <v>-7.8136605008834598E-2</v>
      </c>
      <c r="H98" s="5">
        <v>0.98167834926744857</v>
      </c>
      <c r="I98" s="6">
        <v>0.99627034185255137</v>
      </c>
    </row>
    <row r="99" spans="1:9" x14ac:dyDescent="0.3">
      <c r="A99">
        <v>98</v>
      </c>
      <c r="B99" s="1" t="s">
        <v>100</v>
      </c>
      <c r="C99" s="2">
        <v>59266.508714017502</v>
      </c>
      <c r="D99" s="2">
        <v>59604.535000000003</v>
      </c>
      <c r="E99" s="2">
        <v>59809.200355632202</v>
      </c>
      <c r="F99" s="4" cm="1">
        <f t="array" ref="F99">[1]!Perc_Diff(D99,C99)</f>
        <v>5.6711504583082739E-3</v>
      </c>
      <c r="G99" s="4" cm="1">
        <f t="array" ref="G99">[1]!Perc_Diff(E99,C99)</f>
        <v>9.0737150536672351E-3</v>
      </c>
      <c r="H99" s="5">
        <v>0.98549071792650833</v>
      </c>
      <c r="I99" s="6">
        <v>0.99818490852519104</v>
      </c>
    </row>
    <row r="100" spans="1:9" x14ac:dyDescent="0.3">
      <c r="A100">
        <v>99</v>
      </c>
      <c r="B100" s="1" t="s">
        <v>101</v>
      </c>
      <c r="C100" s="2">
        <v>1516.94369685058</v>
      </c>
      <c r="D100" s="2">
        <v>1489.8240000000001</v>
      </c>
      <c r="E100" s="2">
        <v>1518.46045793909</v>
      </c>
      <c r="F100" s="4" cm="1">
        <f t="array" ref="F100">[1]!Perc_Diff(D100,C100)</f>
        <v>-1.8203289013051127E-2</v>
      </c>
      <c r="G100" s="4" cm="1">
        <f t="array" ref="G100">[1]!Perc_Diff(E100,C100)</f>
        <v>9.9888086026860999E-4</v>
      </c>
      <c r="H100" s="5">
        <v>0.99837772982497597</v>
      </c>
      <c r="I100" s="6">
        <v>8.8414182822784396E-7</v>
      </c>
    </row>
    <row r="101" spans="1:9" x14ac:dyDescent="0.3">
      <c r="A101">
        <v>100</v>
      </c>
      <c r="B101" s="1" t="s">
        <v>102</v>
      </c>
      <c r="C101" s="2">
        <v>127675.747082332</v>
      </c>
      <c r="D101" s="2">
        <v>7.0000000000000001E-3</v>
      </c>
      <c r="E101" s="2">
        <v>129082.331217739</v>
      </c>
      <c r="F101" s="4" cm="1">
        <f t="array" ref="F101">[1]!Perc_Diff(D101,C101)</f>
        <v>-18239391.440333143</v>
      </c>
      <c r="G101" s="4" cm="1">
        <f t="array" ref="G101">[1]!Perc_Diff(E101,C101)</f>
        <v>1.0896798362235508E-2</v>
      </c>
      <c r="H101" s="5">
        <v>0.99517729804628929</v>
      </c>
      <c r="I101" s="6">
        <v>2.8732842551715109E-6</v>
      </c>
    </row>
  </sheetData>
  <autoFilter ref="A1:I101" xr:uid="{00000000-0001-0000-0000-000000000000}">
    <sortState xmlns:xlrd2="http://schemas.microsoft.com/office/spreadsheetml/2017/richdata2" ref="A2:I101">
      <sortCondition ref="B1:B101"/>
    </sortState>
  </autoFilter>
  <conditionalFormatting sqref="H2:I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areas_usgs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Heberger</dc:creator>
  <cp:lastModifiedBy>Matthew Heberger</cp:lastModifiedBy>
  <cp:lastPrinted>2025-12-03T16:38:54Z</cp:lastPrinted>
  <dcterms:created xsi:type="dcterms:W3CDTF">2023-04-01T13:19:01Z</dcterms:created>
  <dcterms:modified xsi:type="dcterms:W3CDTF">2026-06-13T18:50:37Z</dcterms:modified>
</cp:coreProperties>
</file>